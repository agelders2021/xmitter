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580" yWindow="780" windowWidth="25620" windowHeight="12975" tabRatio="600" firstSheet="0" activeTab="0" autoFilterDateGrouping="1"/>
  </bookViews>
  <sheets>
    <sheet xmlns:r="http://schemas.openxmlformats.org/officeDocument/2006/relationships" name="VFO + Keyer Order" sheetId="1" state="visible" r:id="rId1"/>
    <sheet xmlns:r="http://schemas.openxmlformats.org/officeDocument/2006/relationships" name="Instruc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sz val="14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i val="1"/>
      <sz val="11"/>
    </font>
    <font>
      <name val="Calibri"/>
      <b val="1"/>
      <sz val="11"/>
    </font>
    <font>
      <name val="Calibri"/>
      <b val="1"/>
      <color rgb="FFFFFFFF"/>
      <sz val="11"/>
    </font>
  </fonts>
  <fills count="10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305496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5" fillId="4" borderId="0" pivotButton="0" quotePrefix="0" xfId="0"/>
    <xf numFmtId="0" fontId="0" fillId="4" borderId="0" pivotButton="0" quotePrefix="0" xfId="0"/>
    <xf numFmtId="0" fontId="6" fillId="4" borderId="0" pivotButton="0" quotePrefix="0" xfId="0"/>
    <xf numFmtId="0" fontId="0" fillId="4" borderId="3" pivotButton="0" quotePrefix="0" xfId="0"/>
    <xf numFmtId="0" fontId="0" fillId="4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164" fontId="0" fillId="4" borderId="3" applyAlignment="1" pivotButton="0" quotePrefix="0" xfId="0">
      <alignment horizontal="center" vertical="center"/>
    </xf>
    <xf numFmtId="0" fontId="0" fillId="6" borderId="3" pivotButton="0" quotePrefix="0" xfId="0"/>
    <xf numFmtId="0" fontId="0" fillId="6" borderId="3" applyAlignment="1" pivotButton="0" quotePrefix="0" xfId="0">
      <alignment horizontal="center" vertical="center"/>
    </xf>
    <xf numFmtId="164" fontId="0" fillId="6" borderId="3" applyAlignment="1" pivotButton="0" quotePrefix="0" xfId="0">
      <alignment horizontal="center" vertical="center"/>
    </xf>
    <xf numFmtId="0" fontId="0" fillId="5" borderId="3" pivotButton="0" quotePrefix="0" xfId="0"/>
    <xf numFmtId="164" fontId="0" fillId="5" borderId="3" applyAlignment="1" pivotButton="0" quotePrefix="0" xfId="0">
      <alignment horizontal="center" vertical="center"/>
    </xf>
    <xf numFmtId="0" fontId="0" fillId="7" borderId="3" pivotButton="0" quotePrefix="0" xfId="0"/>
    <xf numFmtId="0" fontId="0" fillId="7" borderId="3" applyAlignment="1" pivotButton="0" quotePrefix="0" xfId="0">
      <alignment horizontal="center" vertical="center"/>
    </xf>
    <xf numFmtId="164" fontId="0" fillId="7" borderId="3" applyAlignment="1" pivotButton="0" quotePrefix="0" xfId="0">
      <alignment horizontal="center" vertical="center"/>
    </xf>
    <xf numFmtId="0" fontId="0" fillId="8" borderId="3" pivotButton="0" quotePrefix="0" xfId="0"/>
    <xf numFmtId="0" fontId="0" fillId="8" borderId="3" applyAlignment="1" pivotButton="0" quotePrefix="0" xfId="0">
      <alignment horizontal="center" vertical="center"/>
    </xf>
    <xf numFmtId="164" fontId="0" fillId="8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/>
    </xf>
    <xf numFmtId="164" fontId="8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tabSelected="1" workbookViewId="0">
      <pane ySplit="1" topLeftCell="A14" activePane="bottomLeft" state="frozen"/>
      <selection pane="bottomLeft" activeCell="G21" sqref="G21"/>
    </sheetView>
  </sheetViews>
  <sheetFormatPr baseColWidth="8" defaultRowHeight="15"/>
  <cols>
    <col width="13" customWidth="1" min="1" max="1"/>
    <col width="10" customWidth="1" min="2" max="2"/>
    <col width="38" customWidth="1" min="3" max="3"/>
    <col width="18" customWidth="1" min="4" max="4"/>
    <col width="5" customWidth="1" min="5" max="5"/>
    <col width="8" customWidth="1" min="6" max="7"/>
    <col width="9" customWidth="1" min="8" max="8"/>
    <col width="13" customWidth="1" min="9" max="9"/>
    <col width="26" customWidth="1" min="10" max="11"/>
    <col width="8" customWidth="1" min="12" max="12"/>
    <col width="9" customWidth="1" min="13" max="13"/>
    <col width="40" customWidth="1" min="14" max="14"/>
  </cols>
  <sheetData>
    <row r="1" ht="24" customHeight="1">
      <c r="A1" s="1" t="inlineStr">
        <is>
          <t>Section</t>
        </is>
      </c>
      <c r="B1" s="1" t="inlineStr">
        <is>
          <t>Ref</t>
        </is>
      </c>
      <c r="C1" s="1" t="inlineStr">
        <is>
          <t>Value / Description</t>
        </is>
      </c>
      <c r="D1" s="1" t="inlineStr">
        <is>
          <t>Package</t>
        </is>
      </c>
      <c r="E1" s="1" t="inlineStr">
        <is>
          <t>Qty</t>
        </is>
      </c>
      <c r="F1" s="1" t="inlineStr">
        <is>
          <t>On Hand</t>
        </is>
      </c>
      <c r="G1" s="1" t="inlineStr">
        <is>
          <t>Ordered</t>
        </is>
      </c>
      <c r="H1" s="1" t="inlineStr">
        <is>
          <t>Received</t>
        </is>
      </c>
      <c r="I1" s="1" t="inlineStr">
        <is>
          <t>Ordered From</t>
        </is>
      </c>
      <c r="J1" s="4" t="inlineStr">
        <is>
          <t>Mfr P/N</t>
        </is>
      </c>
      <c r="K1" s="1" t="inlineStr">
        <is>
          <t>Mouser P/N</t>
        </is>
      </c>
      <c r="L1" s="1" t="inlineStr">
        <is>
          <t>Digi-Key P/N</t>
        </is>
      </c>
      <c r="M1" s="1" t="inlineStr">
        <is>
          <t>Unit $</t>
        </is>
      </c>
      <c r="N1" s="1" t="inlineStr">
        <is>
          <t>Ext $</t>
        </is>
      </c>
      <c r="O1" s="1" t="inlineStr">
        <is>
          <t>Notes</t>
        </is>
      </c>
    </row>
    <row r="2">
      <c r="A2" s="5" t="inlineStr">
        <is>
          <t>VFO</t>
        </is>
      </c>
      <c r="B2" s="6" t="n"/>
      <c r="C2" s="7" t="inlineStr">
        <is>
          <t>--- Si5351 module + jumper hardware ---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8" t="inlineStr">
        <is>
          <t>VFO</t>
        </is>
      </c>
      <c r="B3" s="8" t="inlineStr">
        <is>
          <t>U1</t>
        </is>
      </c>
      <c r="C3" s="8" t="inlineStr">
        <is>
          <t>Adafruit Si5351A STEMMA QT breakout</t>
        </is>
      </c>
      <c r="D3" s="8" t="inlineStr">
        <is>
          <t>breakout</t>
        </is>
      </c>
      <c r="E3" s="9" t="n">
        <v>1</v>
      </c>
      <c r="F3" s="10" t="n">
        <v>1</v>
      </c>
      <c r="G3" s="10" t="n">
        <v>1</v>
      </c>
      <c r="H3" s="10" t="n"/>
      <c r="I3" s="10" t="inlineStr">
        <is>
          <t>Adafruit</t>
        </is>
      </c>
      <c r="J3" s="8" t="inlineStr">
        <is>
          <t>Adafruit 5566</t>
        </is>
      </c>
      <c r="K3" s="8" t="n"/>
      <c r="L3" s="8" t="inlineStr">
        <is>
          <t>1528-5566-ND</t>
        </is>
      </c>
      <c r="M3" s="11" t="n">
        <v>11.95</v>
      </c>
      <c r="N3" s="11">
        <f>E3*M3</f>
        <v/>
      </c>
      <c r="O3" s="8" t="inlineStr">
        <is>
          <t>OWN this; Adafruit P/N 5566. Adafruit-only part. | Adafruit PID 5640</t>
        </is>
      </c>
    </row>
    <row r="4">
      <c r="A4" s="8" t="inlineStr">
        <is>
          <t>VFO</t>
        </is>
      </c>
      <c r="B4" s="8" t="inlineStr">
        <is>
          <t>MTG</t>
        </is>
      </c>
      <c r="C4" s="8" t="inlineStr">
        <is>
          <t>M2.5 x 10 mm nylon standoff (F-F)</t>
        </is>
      </c>
      <c r="D4" s="8" t="inlineStr">
        <is>
          <t>mech</t>
        </is>
      </c>
      <c r="E4" s="9" t="n">
        <v>4</v>
      </c>
      <c r="F4" s="10" t="n"/>
      <c r="G4" s="10" t="n">
        <v>10</v>
      </c>
      <c r="H4" s="10" t="n"/>
      <c r="I4" s="10" t="inlineStr">
        <is>
          <t>M</t>
        </is>
      </c>
      <c r="J4" s="8" t="n"/>
      <c r="K4" s="8" t="inlineStr">
        <is>
          <t>855-R30-1001003</t>
        </is>
      </c>
      <c r="L4" s="8" t="inlineStr">
        <is>
          <t>36-3475-ND</t>
        </is>
      </c>
      <c r="M4" s="11" t="n">
        <v>0.6</v>
      </c>
      <c r="N4" s="11">
        <f>E4*M4</f>
        <v/>
      </c>
      <c r="O4" s="8" t="inlineStr">
        <is>
          <t>Corner standoffs for Si5351 | Essentra spacers (not threaded)</t>
        </is>
      </c>
    </row>
    <row r="5">
      <c r="A5" s="8" t="inlineStr">
        <is>
          <t>VFO</t>
        </is>
      </c>
      <c r="B5" s="8" t="inlineStr">
        <is>
          <t>SCR</t>
        </is>
      </c>
      <c r="C5" s="8" t="inlineStr">
        <is>
          <t>M2.5 x 5 mm nylon pan-head screw</t>
        </is>
      </c>
      <c r="D5" s="8" t="inlineStr">
        <is>
          <t>mech</t>
        </is>
      </c>
      <c r="E5" s="9" t="n">
        <v>8</v>
      </c>
      <c r="F5" s="10" t="n"/>
      <c r="G5" s="10" t="n">
        <v>10</v>
      </c>
      <c r="H5" s="10" t="n"/>
      <c r="I5" s="10" t="inlineStr">
        <is>
          <t>M</t>
        </is>
      </c>
      <c r="J5" s="8" t="n"/>
      <c r="K5" s="8" t="inlineStr">
        <is>
          <t>534-29390</t>
        </is>
      </c>
      <c r="L5" s="8" t="inlineStr">
        <is>
          <t>36-29390-ND</t>
        </is>
      </c>
      <c r="M5" s="11" t="n">
        <v>0.2</v>
      </c>
      <c r="N5" s="11">
        <f>E5*M5</f>
        <v/>
      </c>
      <c r="O5" s="8" t="inlineStr">
        <is>
          <t>2 per standoff</t>
        </is>
      </c>
    </row>
    <row r="6">
      <c r="A6" s="8" t="inlineStr">
        <is>
          <t>VFO</t>
        </is>
      </c>
      <c r="B6" s="8" t="inlineStr">
        <is>
          <t>WIRE</t>
        </is>
      </c>
      <c r="C6" s="8" t="inlineStr">
        <is>
          <t>24 AWG insulated hookup wire (asst colors)</t>
        </is>
      </c>
      <c r="D6" s="8" t="inlineStr">
        <is>
          <t>wire</t>
        </is>
      </c>
      <c r="E6" s="9" t="n">
        <v>1</v>
      </c>
      <c r="F6" s="10" t="n"/>
      <c r="G6" s="10" t="n">
        <v>20</v>
      </c>
      <c r="H6" s="10" t="n"/>
      <c r="I6" s="10" t="n"/>
      <c r="J6" s="8" t="n"/>
      <c r="K6" s="8" t="inlineStr">
        <is>
          <t>602-9314-4-100-NC025</t>
        </is>
      </c>
      <c r="L6" s="8" t="n"/>
      <c r="M6" s="11" t="n">
        <v>12</v>
      </c>
      <c r="N6" s="11">
        <f>E6*M6</f>
        <v/>
      </c>
      <c r="O6" s="8" t="inlineStr">
        <is>
          <t>For 7 jumpers Si5351 to PCB + general use | Use existing 24 AWG hookup wire stock</t>
        </is>
      </c>
    </row>
    <row r="7">
      <c r="A7" s="5" t="inlineStr">
        <is>
          <t>VFO</t>
        </is>
      </c>
      <c r="B7" s="6" t="n"/>
      <c r="C7" s="7" t="inlineStr">
        <is>
          <t>--- VFO input + pi pad + 7-pole LPF ---</t>
        </is>
      </c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A8" s="8" t="inlineStr">
        <is>
          <t>VFO</t>
        </is>
      </c>
      <c r="B8" s="8" t="inlineStr">
        <is>
          <t>RS</t>
        </is>
      </c>
      <c r="C8" s="8" t="inlineStr">
        <is>
          <t>0 ohm 1/4W metal film (damping option)</t>
        </is>
      </c>
      <c r="D8" s="8" t="inlineStr">
        <is>
          <t>axial THT</t>
        </is>
      </c>
      <c r="E8" s="9" t="n">
        <v>1</v>
      </c>
      <c r="F8" s="10" t="n">
        <v>1</v>
      </c>
      <c r="G8" s="10" t="n"/>
      <c r="H8" s="10" t="n"/>
      <c r="I8" s="10" t="n"/>
      <c r="J8" s="8" t="n"/>
      <c r="K8" s="8" t="inlineStr">
        <is>
          <t>603-MFR-25FBF52-0R0</t>
        </is>
      </c>
      <c r="L8" s="8" t="n"/>
      <c r="M8" s="11" t="n">
        <v>0.1</v>
      </c>
      <c r="N8" s="11">
        <f>E8*M8</f>
        <v/>
      </c>
      <c r="O8" s="8" t="inlineStr">
        <is>
          <t>Optional damper, default 0R | Have 0Ω in stock</t>
        </is>
      </c>
    </row>
    <row r="9">
      <c r="A9" s="8" t="inlineStr">
        <is>
          <t>VFO</t>
        </is>
      </c>
      <c r="B9" s="8" t="inlineStr">
        <is>
          <t>C_coup</t>
        </is>
      </c>
      <c r="C9" s="8" t="inlineStr">
        <is>
          <t>10 nF NPO/C0G ceramic 100V 5%</t>
        </is>
      </c>
      <c r="D9" s="8" t="inlineStr">
        <is>
          <t>radial disc D5mm</t>
        </is>
      </c>
      <c r="E9" s="9" t="n">
        <v>1</v>
      </c>
      <c r="F9" s="10" t="n"/>
      <c r="G9" s="10" t="n">
        <v>10</v>
      </c>
      <c r="H9" s="10" t="n"/>
      <c r="I9" s="10" t="inlineStr">
        <is>
          <t>M</t>
        </is>
      </c>
      <c r="J9" s="8" t="n"/>
      <c r="K9" s="8" t="inlineStr">
        <is>
          <t>581-SR152A103JAR</t>
        </is>
      </c>
      <c r="L9" s="8" t="n"/>
      <c r="M9" s="11" t="n">
        <v>0.45</v>
      </c>
      <c r="N9" s="11">
        <f>E9*M9</f>
        <v/>
      </c>
      <c r="O9" s="8" t="inlineStr">
        <is>
          <t>Si5351 CLK0 to pi pad coupling; blocks 1.65V offset | Vishay Y5P 10nF (fine for DC blocking)</t>
        </is>
      </c>
    </row>
    <row r="10">
      <c r="A10" s="8" t="inlineStr">
        <is>
          <t>VFO</t>
        </is>
      </c>
      <c r="B10" s="8" t="inlineStr">
        <is>
          <t>RP1, RP3</t>
        </is>
      </c>
      <c r="C10" s="8" t="inlineStr">
        <is>
          <t>62 ohm 1% metal film 1/4W</t>
        </is>
      </c>
      <c r="D10" s="8" t="inlineStr">
        <is>
          <t>axial THT</t>
        </is>
      </c>
      <c r="E10" s="9" t="n">
        <v>2</v>
      </c>
      <c r="F10" s="10" t="n"/>
      <c r="G10" s="10" t="n">
        <v>20</v>
      </c>
      <c r="H10" s="10" t="n"/>
      <c r="I10" s="10" t="inlineStr">
        <is>
          <t>M</t>
        </is>
      </c>
      <c r="J10" s="8" t="n"/>
      <c r="K10" s="8" t="inlineStr">
        <is>
          <t>603-MFR-25FRF52-62R</t>
        </is>
      </c>
      <c r="L10" s="8" t="n"/>
      <c r="M10" s="11" t="n">
        <v>0.1</v>
      </c>
      <c r="N10" s="11">
        <f>E10*M10</f>
        <v/>
      </c>
      <c r="O10" s="8" t="inlineStr">
        <is>
          <t>Pi pad input shunt; Pi pad output shunt</t>
        </is>
      </c>
    </row>
    <row r="11">
      <c r="A11" s="8" t="inlineStr">
        <is>
          <t>VFO</t>
        </is>
      </c>
      <c r="B11" s="8" t="inlineStr">
        <is>
          <t>RP2</t>
        </is>
      </c>
      <c r="C11" s="8" t="inlineStr">
        <is>
          <t>240 ohm 1% metal film 1/4W</t>
        </is>
      </c>
      <c r="D11" s="8" t="inlineStr">
        <is>
          <t>axial THT</t>
        </is>
      </c>
      <c r="E11" s="9" t="n">
        <v>1</v>
      </c>
      <c r="F11" s="10" t="n"/>
      <c r="G11" s="10" t="n">
        <v>10</v>
      </c>
      <c r="H11" s="10" t="n"/>
      <c r="I11" s="10" t="inlineStr">
        <is>
          <t>M</t>
        </is>
      </c>
      <c r="J11" s="8" t="n"/>
      <c r="K11" s="8" t="inlineStr">
        <is>
          <t>603-MFR-25FRF52-240R</t>
        </is>
      </c>
      <c r="L11" s="8" t="n"/>
      <c r="M11" s="11" t="n">
        <v>0.1</v>
      </c>
      <c r="N11" s="11">
        <f>E11*M11</f>
        <v/>
      </c>
      <c r="O11" s="8" t="inlineStr">
        <is>
          <t>Pi pad series</t>
        </is>
      </c>
    </row>
    <row r="12">
      <c r="A12" s="8" t="inlineStr">
        <is>
          <t>VFO</t>
        </is>
      </c>
      <c r="B12" s="8" t="inlineStr">
        <is>
          <t>CF1, CF7</t>
        </is>
      </c>
      <c r="C12" s="8" t="inlineStr">
        <is>
          <t>220 pF silver mica 500V 5% (or 240 if surplus)</t>
        </is>
      </c>
      <c r="D12" s="8" t="inlineStr">
        <is>
          <t>axial THT</t>
        </is>
      </c>
      <c r="E12" s="9" t="n">
        <v>2</v>
      </c>
      <c r="F12" s="10" t="n"/>
      <c r="G12" s="10" t="n">
        <v>4</v>
      </c>
      <c r="H12" s="10" t="n"/>
      <c r="I12" s="10" t="inlineStr">
        <is>
          <t>M</t>
        </is>
      </c>
      <c r="J12" s="8" t="inlineStr">
        <is>
          <t>CD15FD221JO3F</t>
        </is>
      </c>
      <c r="K12" s="8" t="inlineStr">
        <is>
          <t>598-CD15FD221JO3F</t>
        </is>
      </c>
      <c r="L12" s="8" t="inlineStr">
        <is>
          <t>CD15FD221JO3F-ND</t>
        </is>
      </c>
      <c r="M12" s="11" t="n">
        <v>1.85</v>
      </c>
      <c r="N12" s="11">
        <f>E12*M12</f>
        <v/>
      </c>
      <c r="O12" s="8" t="inlineStr">
        <is>
          <t>LPF outer; surplus item 189 (240pF) acceptable; Same as CF1 | Surplus 240pF × 5 (item 189) + Mouser 220pF × 4 — KEEP ONE, REMOVE OTHER</t>
        </is>
      </c>
    </row>
    <row r="13">
      <c r="A13" s="8" t="inlineStr">
        <is>
          <t>VFO</t>
        </is>
      </c>
      <c r="B13" s="8" t="inlineStr">
        <is>
          <t>CF3, CF5</t>
        </is>
      </c>
      <c r="C13" s="8" t="inlineStr">
        <is>
          <t>390 pF silver mica 500V 5%</t>
        </is>
      </c>
      <c r="D13" s="8" t="inlineStr">
        <is>
          <t>axial THT</t>
        </is>
      </c>
      <c r="E13" s="9" t="n">
        <v>2</v>
      </c>
      <c r="F13" s="10" t="n"/>
      <c r="G13" s="10" t="n">
        <v>5</v>
      </c>
      <c r="H13" s="10" t="n"/>
      <c r="I13" s="10" t="inlineStr">
        <is>
          <t>Surplus</t>
        </is>
      </c>
      <c r="J13" s="8" t="inlineStr">
        <is>
          <t>CD15FD391JO3F</t>
        </is>
      </c>
      <c r="K13" s="8" t="inlineStr">
        <is>
          <t>598-CD15FD391JO3F</t>
        </is>
      </c>
      <c r="L13" s="8" t="inlineStr">
        <is>
          <t>CD15FD391JO3F-ND</t>
        </is>
      </c>
      <c r="M13" s="11" t="n">
        <v>1.95</v>
      </c>
      <c r="N13" s="11">
        <f>E13*M13</f>
        <v/>
      </c>
      <c r="O13" s="8" t="inlineStr">
        <is>
          <t>LPF; surplus item 192 exact match | Surplus item 192 (390pF × 5)</t>
        </is>
      </c>
    </row>
    <row r="14">
      <c r="A14" s="8" t="inlineStr">
        <is>
          <t>VFO</t>
        </is>
      </c>
      <c r="B14" s="8" t="inlineStr">
        <is>
          <t>L2-6</t>
        </is>
      </c>
      <c r="C14" s="8" t="inlineStr">
        <is>
          <t>T68-6 iron-powder toroid core</t>
        </is>
      </c>
      <c r="D14" s="8" t="inlineStr">
        <is>
          <t>toroid</t>
        </is>
      </c>
      <c r="E14" s="9" t="n">
        <v>5</v>
      </c>
      <c r="F14" s="10" t="n"/>
      <c r="G14" s="10" t="n">
        <v>14</v>
      </c>
      <c r="H14" s="10" t="n"/>
      <c r="I14" s="10" t="inlineStr">
        <is>
          <t>eBay+Surplus</t>
        </is>
      </c>
      <c r="J14" s="8" t="n"/>
      <c r="K14" s="8" t="n"/>
      <c r="L14" s="8" t="n"/>
      <c r="M14" s="11" t="n">
        <v>0.85</v>
      </c>
      <c r="N14" s="11">
        <f>E14*M14</f>
        <v/>
      </c>
      <c r="O14" s="8" t="inlineStr">
        <is>
          <t>KitsAndParts.com only - neither Mouser nor DK stocks Micrometals cores | Amidon eBay (4) + surplus (10) = 14 T68-6 cores</t>
        </is>
      </c>
    </row>
    <row r="15">
      <c r="A15" s="8" t="inlineStr">
        <is>
          <t>VFO</t>
        </is>
      </c>
      <c r="B15" s="8" t="inlineStr">
        <is>
          <t>WIRE2</t>
        </is>
      </c>
      <c r="C15" s="8" t="inlineStr">
        <is>
          <t>#24 AWG enameled magnet wire (1/4 lb spool)</t>
        </is>
      </c>
      <c r="D15" s="8" t="inlineStr">
        <is>
          <t>spool</t>
        </is>
      </c>
      <c r="E15" s="9" t="n">
        <v>1</v>
      </c>
      <c r="F15" s="10" t="n"/>
      <c r="G15" s="10" t="n"/>
      <c r="H15" s="10" t="n"/>
      <c r="I15" s="10" t="n"/>
      <c r="J15" s="8" t="n"/>
      <c r="K15" s="8" t="n"/>
      <c r="L15" s="8" t="n"/>
      <c r="M15" s="11" t="n">
        <v>8</v>
      </c>
      <c r="N15" s="11">
        <f>E15*M15</f>
        <v/>
      </c>
      <c r="O15" s="8" t="inlineStr">
        <is>
          <t>KitsAndParts.com - neither Mouser nor DK stocks ham magnet wire | KitsAndParts #24 AWG 1/4 lb — separate order still needed</t>
        </is>
      </c>
    </row>
    <row r="16">
      <c r="A16" s="8" t="inlineStr">
        <is>
          <t>VFO</t>
        </is>
      </c>
      <c r="B16" s="8" t="inlineStr">
        <is>
          <t>RT1</t>
        </is>
      </c>
      <c r="C16" s="8" t="inlineStr">
        <is>
          <t>50 ohm 1% metal film 1/4W</t>
        </is>
      </c>
      <c r="D16" s="8" t="inlineStr">
        <is>
          <t>axial THT</t>
        </is>
      </c>
      <c r="E16" s="9" t="n">
        <v>1</v>
      </c>
      <c r="F16" s="10" t="n"/>
      <c r="G16" s="10" t="n">
        <v>5</v>
      </c>
      <c r="H16" s="10" t="n"/>
      <c r="I16" s="10" t="inlineStr">
        <is>
          <t>M</t>
        </is>
      </c>
      <c r="J16" s="8" t="n"/>
      <c r="K16" s="8" t="inlineStr">
        <is>
          <t>603-MFR-25FRF52-49R9</t>
        </is>
      </c>
      <c r="L16" s="8" t="n"/>
      <c r="M16" s="11" t="n">
        <v>0.1</v>
      </c>
      <c r="N16" s="11">
        <f>E16*M16</f>
        <v/>
      </c>
      <c r="O16" s="8" t="inlineStr">
        <is>
          <t>LPF output termination (49.9 ohm = nearest E96) | 50Ω termination</t>
        </is>
      </c>
    </row>
    <row r="17">
      <c r="A17" s="8" t="inlineStr">
        <is>
          <t>VFO</t>
        </is>
      </c>
      <c r="B17" s="8" t="inlineStr">
        <is>
          <t>RGL</t>
        </is>
      </c>
      <c r="C17" s="8" t="inlineStr">
        <is>
          <t>1 Mohm 1% metal film 1/4W</t>
        </is>
      </c>
      <c r="D17" s="8" t="inlineStr">
        <is>
          <t>axial THT</t>
        </is>
      </c>
      <c r="E17" s="9" t="n">
        <v>1</v>
      </c>
      <c r="F17" s="10" t="n">
        <v>1</v>
      </c>
      <c r="G17" s="10" t="n"/>
      <c r="H17" s="10" t="n"/>
      <c r="I17" s="10" t="n"/>
      <c r="J17" s="8" t="n"/>
      <c r="K17" s="8" t="inlineStr">
        <is>
          <t>603-MFR-25FRF52-1M</t>
        </is>
      </c>
      <c r="L17" s="8" t="n"/>
      <c r="M17" s="11" t="n">
        <v>0.1</v>
      </c>
      <c r="N17" s="11">
        <f>E17*M17</f>
        <v/>
      </c>
      <c r="O17" s="8" t="inlineStr">
        <is>
          <t>MC1496 carrier-port grid-leak; ADD TO SCH | Have 1MΩ in stock</t>
        </is>
      </c>
    </row>
    <row r="18">
      <c r="A18" s="5" t="inlineStr">
        <is>
          <t>VFO</t>
        </is>
      </c>
      <c r="B18" s="6" t="n"/>
      <c r="C18" s="7" t="inlineStr">
        <is>
          <t>--- J310 source follower buffer (optional, can jumper-bypass) ---</t>
        </is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>
      <c r="A19" s="8" t="inlineStr">
        <is>
          <t>VFO</t>
        </is>
      </c>
      <c r="B19" s="8" t="inlineStr">
        <is>
          <t>Q1</t>
        </is>
      </c>
      <c r="C19" s="8" t="inlineStr">
        <is>
          <t>J310 N-channel JFET</t>
        </is>
      </c>
      <c r="D19" s="8" t="inlineStr">
        <is>
          <t>TO-92</t>
        </is>
      </c>
      <c r="E19" s="9" t="n">
        <v>2</v>
      </c>
      <c r="F19" s="10" t="n"/>
      <c r="G19" s="10" t="n">
        <v>4</v>
      </c>
      <c r="H19" s="10" t="n"/>
      <c r="I19" s="10" t="inlineStr">
        <is>
          <t>M</t>
        </is>
      </c>
      <c r="J19" s="8" t="inlineStr">
        <is>
          <t>J310</t>
        </is>
      </c>
      <c r="K19" s="8" t="inlineStr">
        <is>
          <t>512-J310</t>
        </is>
      </c>
      <c r="L19" s="8" t="inlineStr">
        <is>
          <t>J310-ND</t>
        </is>
      </c>
      <c r="M19" s="11" t="n">
        <v>0.85</v>
      </c>
      <c r="N19" s="11">
        <f>E19*M19</f>
        <v/>
      </c>
      <c r="O19" s="8" t="inlineStr">
        <is>
          <t>1 + 1 spare; static-sensitive</t>
        </is>
      </c>
    </row>
    <row r="20">
      <c r="A20" s="8" t="inlineStr">
        <is>
          <t>VFO</t>
        </is>
      </c>
      <c r="B20" s="8" t="inlineStr">
        <is>
          <t>R6_V</t>
        </is>
      </c>
      <c r="C20" s="8" t="inlineStr">
        <is>
          <t>270 ohm 1% metal film 1/4W</t>
        </is>
      </c>
      <c r="D20" s="8" t="inlineStr">
        <is>
          <t>axial THT</t>
        </is>
      </c>
      <c r="E20" s="9" t="n">
        <v>1</v>
      </c>
      <c r="F20" s="10" t="n"/>
      <c r="G20" s="10" t="n">
        <v>5</v>
      </c>
      <c r="H20" s="10" t="n"/>
      <c r="I20" s="10" t="inlineStr">
        <is>
          <t>M</t>
        </is>
      </c>
      <c r="J20" s="8" t="n"/>
      <c r="K20" s="8" t="inlineStr">
        <is>
          <t>603-MFR-25FRF52-270R</t>
        </is>
      </c>
      <c r="L20" s="8" t="n"/>
      <c r="M20" s="11" t="n">
        <v>0.1</v>
      </c>
      <c r="N20" s="11">
        <f>E20*M20</f>
        <v/>
      </c>
      <c r="O20" s="8" t="inlineStr">
        <is>
          <t>J310 source resistor | 270Ω</t>
        </is>
      </c>
    </row>
    <row r="21">
      <c r="A21" s="8" t="inlineStr">
        <is>
          <t>VFO</t>
        </is>
      </c>
      <c r="B21" s="8" t="inlineStr">
        <is>
          <t>CC1</t>
        </is>
      </c>
      <c r="C21" s="8" t="inlineStr">
        <is>
          <t>10 nF NPO/C0G ceramic 100V</t>
        </is>
      </c>
      <c r="D21" s="8" t="inlineStr">
        <is>
          <t>radial disc D5mm</t>
        </is>
      </c>
      <c r="E21" s="9" t="n">
        <v>1</v>
      </c>
      <c r="F21" s="10" t="n"/>
      <c r="G21" s="10" t="n">
        <v>10</v>
      </c>
      <c r="H21" s="10" t="n"/>
      <c r="I21" s="10" t="n"/>
      <c r="J21" s="8" t="n"/>
      <c r="K21" s="8" t="inlineStr">
        <is>
          <t>581-SR152A103JAR</t>
        </is>
      </c>
      <c r="L21" s="8" t="n"/>
      <c r="M21" s="11" t="n">
        <v>0.45</v>
      </c>
      <c r="N21" s="11">
        <f>E21*M21</f>
        <v/>
      </c>
      <c r="O21" s="8" t="inlineStr">
        <is>
          <t>J310 output coupling to MC1496</t>
        </is>
      </c>
    </row>
    <row r="22">
      <c r="A22" s="5" t="inlineStr">
        <is>
          <t>KEYER</t>
        </is>
      </c>
      <c r="B22" s="6" t="n"/>
      <c r="C22" s="7" t="inlineStr">
        <is>
          <t>--- MC1496 keyer + bias network ---</t>
        </is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</row>
    <row r="23">
      <c r="A23" s="12" t="inlineStr">
        <is>
          <t>KEYER</t>
        </is>
      </c>
      <c r="B23" s="12" t="inlineStr">
        <is>
          <t>U2</t>
        </is>
      </c>
      <c r="C23" s="12" t="inlineStr">
        <is>
          <t>MC1496P balanced modulator</t>
        </is>
      </c>
      <c r="D23" s="12" t="inlineStr">
        <is>
          <t>DIP-14</t>
        </is>
      </c>
      <c r="E23" s="13" t="n">
        <v>2</v>
      </c>
      <c r="F23" s="10" t="n"/>
      <c r="G23" s="10" t="n">
        <v>5</v>
      </c>
      <c r="H23" s="10" t="n"/>
      <c r="I23" s="10" t="inlineStr">
        <is>
          <t>eBay</t>
        </is>
      </c>
      <c r="J23" s="12" t="inlineStr">
        <is>
          <t>MC1496P</t>
        </is>
      </c>
      <c r="K23" s="12" t="inlineStr">
        <is>
          <t>511-MC1496P</t>
        </is>
      </c>
      <c r="L23" s="12" t="inlineStr">
        <is>
          <t>MC1496PG-ND</t>
        </is>
      </c>
      <c r="M23" s="14" t="n">
        <v>2.45</v>
      </c>
      <c r="N23" s="14">
        <f>E23*M23</f>
        <v/>
      </c>
      <c r="O23" s="12" t="inlineStr">
        <is>
          <t>1 + 1 spare; static-sensitive | eBay 5pcs MC1496PG ($15.30)</t>
        </is>
      </c>
    </row>
    <row r="24">
      <c r="A24" s="12" t="inlineStr">
        <is>
          <t>KEYER</t>
        </is>
      </c>
      <c r="B24" s="12" t="inlineStr">
        <is>
          <t>XU2</t>
        </is>
      </c>
      <c r="C24" s="12" t="inlineStr">
        <is>
          <t>DIP-14 IC socket, machined pin</t>
        </is>
      </c>
      <c r="D24" s="12" t="inlineStr">
        <is>
          <t>DIP-14 socket</t>
        </is>
      </c>
      <c r="E24" s="13" t="n">
        <v>1</v>
      </c>
      <c r="F24" s="10" t="n"/>
      <c r="G24" s="10" t="n">
        <v>4</v>
      </c>
      <c r="H24" s="10" t="n"/>
      <c r="I24" s="10" t="inlineStr">
        <is>
          <t>M</t>
        </is>
      </c>
      <c r="J24" s="12" t="inlineStr">
        <is>
          <t>Mill-Max 110-43-314 (machined)</t>
        </is>
      </c>
      <c r="K24" s="12" t="inlineStr">
        <is>
          <t>575-1102873</t>
        </is>
      </c>
      <c r="L24" s="12" t="inlineStr">
        <is>
          <t>AE9990-ND</t>
        </is>
      </c>
      <c r="M24" s="14" t="n">
        <v>0.85</v>
      </c>
      <c r="N24" s="14">
        <f>E24*M24</f>
        <v/>
      </c>
      <c r="O24" s="12" t="inlineStr">
        <is>
          <t>Mill-Max machined preferred over stamped | Mill-Max premium machined</t>
        </is>
      </c>
    </row>
    <row r="25">
      <c r="A25" s="12" t="inlineStr">
        <is>
          <t>KEYER</t>
        </is>
      </c>
      <c r="B25" s="12" t="inlineStr">
        <is>
          <t>R1, R3, R4</t>
        </is>
      </c>
      <c r="C25" s="12" t="inlineStr">
        <is>
          <t>51 ohm 1% metal film 1/4W</t>
        </is>
      </c>
      <c r="D25" s="12" t="inlineStr">
        <is>
          <t>axial THT</t>
        </is>
      </c>
      <c r="E25" s="13" t="n">
        <v>3</v>
      </c>
      <c r="F25" s="10" t="n"/>
      <c r="G25" s="10" t="n">
        <v>6</v>
      </c>
      <c r="H25" s="10" t="n"/>
      <c r="I25" s="10" t="inlineStr">
        <is>
          <t>M</t>
        </is>
      </c>
      <c r="J25" s="12" t="n"/>
      <c r="K25" s="12" t="inlineStr">
        <is>
          <t>603-MFR-25FRF52-51R</t>
        </is>
      </c>
      <c r="L25" s="12" t="n"/>
      <c r="M25" s="14" t="n">
        <v>0.1</v>
      </c>
      <c r="N25" s="14">
        <f>E25*M25</f>
        <v/>
      </c>
      <c r="O25" s="12" t="inlineStr">
        <is>
          <t>MC1496 carrier port termination; MC1496 modulator port; Modulator port + DAC injection shunt at pin 1</t>
        </is>
      </c>
    </row>
    <row r="26">
      <c r="A26" s="12" t="inlineStr">
        <is>
          <t>KEYER</t>
        </is>
      </c>
      <c r="B26" s="12" t="inlineStr">
        <is>
          <t>R2</t>
        </is>
      </c>
      <c r="C26" s="12" t="inlineStr">
        <is>
          <t>6.8 kohm 1% metal film 1/4W</t>
        </is>
      </c>
      <c r="D26" s="12" t="inlineStr">
        <is>
          <t>axial THT</t>
        </is>
      </c>
      <c r="E26" s="13" t="n">
        <v>1</v>
      </c>
      <c r="F26" s="10" t="n"/>
      <c r="G26" s="10" t="n">
        <v>10</v>
      </c>
      <c r="H26" s="10" t="n"/>
      <c r="I26" s="10" t="inlineStr">
        <is>
          <t>M</t>
        </is>
      </c>
      <c r="J26" s="12" t="n"/>
      <c r="K26" s="12" t="inlineStr">
        <is>
          <t>603-MFR-25FRF52-6K8</t>
        </is>
      </c>
      <c r="L26" s="12" t="n"/>
      <c r="M26" s="14" t="n">
        <v>0.1</v>
      </c>
      <c r="N26" s="14">
        <f>E26*M26</f>
        <v/>
      </c>
      <c r="O26" s="12" t="inlineStr">
        <is>
          <t>MC1496 Iee setting (pin 5) | 6.8kΩ</t>
        </is>
      </c>
    </row>
    <row r="27">
      <c r="A27" s="12" t="inlineStr">
        <is>
          <t>KEYER</t>
        </is>
      </c>
      <c r="B27" s="12" t="inlineStr">
        <is>
          <t>RLa, RLb</t>
        </is>
      </c>
      <c r="C27" s="12" t="inlineStr">
        <is>
          <t>3.9 kohm 1% metal film 1/4W (match w/ RLb)</t>
        </is>
      </c>
      <c r="D27" s="12" t="inlineStr">
        <is>
          <t>axial THT</t>
        </is>
      </c>
      <c r="E27" s="13" t="n">
        <v>2</v>
      </c>
      <c r="F27" s="10" t="n"/>
      <c r="G27" s="10" t="n">
        <v>6</v>
      </c>
      <c r="H27" s="10" t="n"/>
      <c r="I27" s="10" t="inlineStr">
        <is>
          <t>M</t>
        </is>
      </c>
      <c r="J27" s="12" t="n"/>
      <c r="K27" s="12" t="inlineStr">
        <is>
          <t>603-MFR-25FRF52-3K9</t>
        </is>
      </c>
      <c r="L27" s="12" t="n"/>
      <c r="M27" s="14" t="n">
        <v>0.1</v>
      </c>
      <c r="N27" s="14">
        <f>E27*M27</f>
        <v/>
      </c>
      <c r="O27" s="12" t="inlineStr">
        <is>
          <t>Output load; order 4-5 and match by DMM; See RLa note | Yageo 0.5% precision (better than spec)</t>
        </is>
      </c>
    </row>
    <row r="28">
      <c r="A28" s="12" t="inlineStr">
        <is>
          <t>KEYER</t>
        </is>
      </c>
      <c r="B28" s="12" t="inlineStr">
        <is>
          <t>R5, R7, R9, R10</t>
        </is>
      </c>
      <c r="C28" s="12" t="inlineStr">
        <is>
          <t>8.2 kohm 1% metal film 1/4W</t>
        </is>
      </c>
      <c r="D28" s="12" t="inlineStr">
        <is>
          <t>axial THT</t>
        </is>
      </c>
      <c r="E28" s="13" t="n">
        <v>4</v>
      </c>
      <c r="F28" s="10" t="n">
        <v>4</v>
      </c>
      <c r="G28" s="10" t="n">
        <v>8</v>
      </c>
      <c r="H28" s="10" t="n"/>
      <c r="I28" s="10" t="inlineStr">
        <is>
          <t>M</t>
        </is>
      </c>
      <c r="J28" s="12" t="n"/>
      <c r="K28" s="12" t="inlineStr">
        <is>
          <t>603-MFR-25FRF52-8K2</t>
        </is>
      </c>
      <c r="L28" s="12" t="n"/>
      <c r="M28" s="14" t="n">
        <v>0.1</v>
      </c>
      <c r="N28" s="14">
        <f>E28*M28</f>
        <v/>
      </c>
      <c r="O28" s="12" t="inlineStr">
        <is>
          <t>PNP T1 base (symmetry); PNP T2 base (symmetry; match R5); PNP null injection | Have 8.2k in stock — can REMOVE from cart</t>
        </is>
      </c>
    </row>
    <row r="29">
      <c r="A29" s="12" t="inlineStr">
        <is>
          <t>KEYER</t>
        </is>
      </c>
      <c r="B29" s="12" t="inlineStr">
        <is>
          <t>R6_K, R8_K</t>
        </is>
      </c>
      <c r="C29" s="12" t="inlineStr">
        <is>
          <t>2.7 kohm 1% metal film 1/4W</t>
        </is>
      </c>
      <c r="D29" s="12" t="inlineStr">
        <is>
          <t>axial THT</t>
        </is>
      </c>
      <c r="E29" s="13" t="n">
        <v>2</v>
      </c>
      <c r="F29" s="10" t="n"/>
      <c r="G29" s="10" t="n">
        <v>6</v>
      </c>
      <c r="H29" s="10" t="n"/>
      <c r="I29" s="10" t="inlineStr">
        <is>
          <t>M</t>
        </is>
      </c>
      <c r="J29" s="12" t="n"/>
      <c r="K29" s="12" t="inlineStr">
        <is>
          <t>603-MFR-25FRF52-2K7</t>
        </is>
      </c>
      <c r="L29" s="12" t="n"/>
      <c r="M29" s="14" t="n">
        <v>0.1</v>
      </c>
      <c r="N29" s="14">
        <f>E29*M29</f>
        <v/>
      </c>
      <c r="O29" s="12" t="inlineStr">
        <is>
          <t>PNP T1 collector bias; PNP T2 collector bias (match R6_K)</t>
        </is>
      </c>
    </row>
    <row r="30">
      <c r="A30" s="12" t="inlineStr">
        <is>
          <t>KEYER</t>
        </is>
      </c>
      <c r="B30" s="12" t="inlineStr">
        <is>
          <t>R11, R12</t>
        </is>
      </c>
      <c r="C30" s="12" t="inlineStr">
        <is>
          <t>22 kohm 1% metal film 1/4W</t>
        </is>
      </c>
      <c r="D30" s="12" t="inlineStr">
        <is>
          <t>axial THT</t>
        </is>
      </c>
      <c r="E30" s="13" t="n">
        <v>2</v>
      </c>
      <c r="F30" s="10" t="n">
        <v>2</v>
      </c>
      <c r="G30" s="10" t="n"/>
      <c r="H30" s="10" t="n"/>
      <c r="I30" s="10" t="n"/>
      <c r="J30" s="12" t="n"/>
      <c r="K30" s="12" t="inlineStr">
        <is>
          <t>603-MFR-25FRF52-22K</t>
        </is>
      </c>
      <c r="L30" s="12" t="n"/>
      <c r="M30" s="14" t="n">
        <v>0.1</v>
      </c>
      <c r="N30" s="14">
        <f>E30*M30</f>
        <v/>
      </c>
      <c r="O30" s="12" t="inlineStr">
        <is>
          <t>Carrier bias divider top; Carrier bias divider bottom | Have 22k in stock</t>
        </is>
      </c>
    </row>
    <row r="31">
      <c r="A31" s="12" t="inlineStr">
        <is>
          <t>KEYER</t>
        </is>
      </c>
      <c r="B31" s="12" t="inlineStr">
        <is>
          <t>R13</t>
        </is>
      </c>
      <c r="C31" s="12" t="inlineStr">
        <is>
          <t>1.5 kohm 1% metal film 1/4W</t>
        </is>
      </c>
      <c r="D31" s="12" t="inlineStr">
        <is>
          <t>axial THT</t>
        </is>
      </c>
      <c r="E31" s="13" t="n">
        <v>1</v>
      </c>
      <c r="F31" s="10" t="n">
        <v>1</v>
      </c>
      <c r="G31" s="10" t="n"/>
      <c r="H31" s="10" t="n"/>
      <c r="I31" s="10" t="n"/>
      <c r="J31" s="12" t="n"/>
      <c r="K31" s="12" t="inlineStr">
        <is>
          <t>603-MFR-25FRF52-1K5</t>
        </is>
      </c>
      <c r="L31" s="12" t="n"/>
      <c r="M31" s="14" t="n">
        <v>0.1</v>
      </c>
      <c r="N31" s="14">
        <f>E31*M31</f>
        <v/>
      </c>
      <c r="O31" s="12" t="inlineStr">
        <is>
          <t>Modulator input divider | Have 1.5k in stock</t>
        </is>
      </c>
    </row>
    <row r="32">
      <c r="A32" s="12" t="inlineStr">
        <is>
          <t>KEYER</t>
        </is>
      </c>
      <c r="B32" s="12" t="inlineStr">
        <is>
          <t>Re</t>
        </is>
      </c>
      <c r="C32" s="12" t="inlineStr">
        <is>
          <t>2.0 kohm 1% metal film 1/4W</t>
        </is>
      </c>
      <c r="D32" s="12" t="inlineStr">
        <is>
          <t>axial THT</t>
        </is>
      </c>
      <c r="E32" s="13" t="n">
        <v>1</v>
      </c>
      <c r="F32" s="10" t="n">
        <v>1</v>
      </c>
      <c r="G32" s="10" t="n"/>
      <c r="H32" s="10" t="n"/>
      <c r="I32" s="10" t="n"/>
      <c r="J32" s="12" t="n"/>
      <c r="K32" s="12" t="inlineStr">
        <is>
          <t>603-MFR-25FRF52-2K</t>
        </is>
      </c>
      <c r="L32" s="12" t="n"/>
      <c r="M32" s="14" t="n">
        <v>0.1</v>
      </c>
      <c r="N32" s="14">
        <f>E32*M32</f>
        <v/>
      </c>
      <c r="O32" s="12" t="inlineStr">
        <is>
          <t>MC1496 emitter degen (gain set) | Have 2k in stock</t>
        </is>
      </c>
    </row>
    <row r="33">
      <c r="A33" s="12" t="inlineStr">
        <is>
          <t>KEYER</t>
        </is>
      </c>
      <c r="B33" s="12" t="inlineStr">
        <is>
          <t>C1</t>
        </is>
      </c>
      <c r="C33" s="12" t="inlineStr">
        <is>
          <t>330 pF NPO/C0G ceramic 100V (or silver mica)</t>
        </is>
      </c>
      <c r="D33" s="12" t="inlineStr">
        <is>
          <t>radial disc D5mm</t>
        </is>
      </c>
      <c r="E33" s="13" t="n">
        <v>1</v>
      </c>
      <c r="F33" s="10" t="n"/>
      <c r="G33" s="10" t="n">
        <v>5</v>
      </c>
      <c r="H33" s="10" t="n"/>
      <c r="I33" s="10" t="inlineStr">
        <is>
          <t>Surplus</t>
        </is>
      </c>
      <c r="J33" s="12" t="inlineStr">
        <is>
          <t>CD15FD331JO3F (silver mica option)</t>
        </is>
      </c>
      <c r="K33" s="12" t="inlineStr">
        <is>
          <t>581-SR152A331JAR</t>
        </is>
      </c>
      <c r="L33" s="12" t="n"/>
      <c r="M33" s="14" t="n">
        <v>0.45</v>
      </c>
      <c r="N33" s="14">
        <f>E33*M33</f>
        <v/>
      </c>
      <c r="O33" s="12" t="inlineStr">
        <is>
          <t>Carrier port coupling; surplus item 191 also fine | Surplus item 191 (330pF silver mica × 5)</t>
        </is>
      </c>
    </row>
    <row r="34">
      <c r="A34" s="12" t="inlineStr">
        <is>
          <t>KEYER</t>
        </is>
      </c>
      <c r="B34" s="12" t="inlineStr">
        <is>
          <t>C2</t>
        </is>
      </c>
      <c r="C34" s="12" t="inlineStr">
        <is>
          <t>0.1 uF X7R ceramic 50V</t>
        </is>
      </c>
      <c r="D34" s="12" t="inlineStr">
        <is>
          <t>radial 5mm</t>
        </is>
      </c>
      <c r="E34" s="13" t="n">
        <v>2</v>
      </c>
      <c r="F34" s="10" t="n"/>
      <c r="G34" s="10" t="n">
        <v>5</v>
      </c>
      <c r="H34" s="10" t="n"/>
      <c r="I34" s="10" t="inlineStr">
        <is>
          <t>mou</t>
        </is>
      </c>
      <c r="J34" s="12" t="n"/>
      <c r="K34" s="12" t="inlineStr">
        <is>
          <t>80-C320C104K5R</t>
        </is>
      </c>
      <c r="L34" s="12" t="inlineStr">
        <is>
          <t>399-9866-ND</t>
        </is>
      </c>
      <c r="M34" s="14" t="n">
        <v>0.2</v>
      </c>
      <c r="N34" s="14">
        <f>E34*M34</f>
        <v/>
      </c>
      <c r="O34" s="12" t="inlineStr">
        <is>
          <t>MC1496 pin 10 bypass + 1 spare</t>
        </is>
      </c>
    </row>
    <row r="35">
      <c r="A35" s="12" t="inlineStr">
        <is>
          <t>KEYER</t>
        </is>
      </c>
      <c r="B35" s="12" t="inlineStr">
        <is>
          <t>T1</t>
        </is>
      </c>
      <c r="C35" s="12" t="inlineStr">
        <is>
          <t>2N3906 PNP general-purpose</t>
        </is>
      </c>
      <c r="D35" s="12" t="inlineStr">
        <is>
          <t>TO-92</t>
        </is>
      </c>
      <c r="E35" s="13" t="n">
        <v>4</v>
      </c>
      <c r="F35" s="10" t="n"/>
      <c r="G35" s="10" t="n">
        <v>5</v>
      </c>
      <c r="H35" s="10" t="n"/>
      <c r="I35" s="10" t="inlineStr">
        <is>
          <t>M</t>
        </is>
      </c>
      <c r="J35" s="12" t="inlineStr">
        <is>
          <t>2N3906</t>
        </is>
      </c>
      <c r="K35" s="12" t="inlineStr">
        <is>
          <t>610-2N3906</t>
        </is>
      </c>
      <c r="L35" s="12" t="inlineStr">
        <is>
          <t>2N3906FS-ND</t>
        </is>
      </c>
      <c r="M35" s="14" t="n">
        <v>0.2</v>
      </c>
      <c r="N35" s="14">
        <f>E35*M35</f>
        <v/>
      </c>
      <c r="O35" s="12" t="inlineStr">
        <is>
          <t>PNP null injection; buy 4 and pair by Vbe | 2N3906 PNP; match by Vbe</t>
        </is>
      </c>
    </row>
    <row r="36">
      <c r="A36" s="12" t="inlineStr">
        <is>
          <t>KEYER</t>
        </is>
      </c>
      <c r="B36" s="12" t="inlineStr">
        <is>
          <t>T2</t>
        </is>
      </c>
      <c r="C36" s="12" t="inlineStr">
        <is>
          <t>2N3906 (covered above)</t>
        </is>
      </c>
      <c r="D36" s="12" t="inlineStr">
        <is>
          <t>TO-92</t>
        </is>
      </c>
      <c r="E36" s="13" t="n">
        <v>0</v>
      </c>
      <c r="F36" s="10" t="n"/>
      <c r="G36" s="10" t="n"/>
      <c r="H36" s="10" t="n"/>
      <c r="I36" s="10" t="n"/>
      <c r="J36" s="12" t="n"/>
      <c r="K36" s="12" t="n"/>
      <c r="L36" s="12" t="n"/>
      <c r="M36" s="13" t="n"/>
      <c r="N36" s="13" t="n"/>
      <c r="O36" s="12" t="inlineStr">
        <is>
          <t>Paired with T1 from the 4 ordered</t>
        </is>
      </c>
    </row>
    <row r="37">
      <c r="A37" s="5" t="inlineStr">
        <is>
          <t>KEYER</t>
        </is>
      </c>
      <c r="B37" s="6" t="n"/>
      <c r="C37" s="7" t="inlineStr">
        <is>
          <t>--- LM7171 differential post-amps (one per MC1496 output side) ---</t>
        </is>
      </c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</row>
    <row r="38">
      <c r="A38" s="12" t="inlineStr">
        <is>
          <t>KEYER</t>
        </is>
      </c>
      <c r="B38" s="12" t="inlineStr">
        <is>
          <t>U3,4</t>
        </is>
      </c>
      <c r="C38" s="12" t="inlineStr">
        <is>
          <t>LM7171AIN high-speed op-amp</t>
        </is>
      </c>
      <c r="D38" s="12" t="inlineStr">
        <is>
          <t>DIP-8</t>
        </is>
      </c>
      <c r="E38" s="13" t="n">
        <v>3</v>
      </c>
      <c r="F38" s="10" t="n">
        <v>4</v>
      </c>
      <c r="G38" s="10" t="n">
        <v>4</v>
      </c>
      <c r="H38" s="10" t="n"/>
      <c r="I38" s="10" t="inlineStr">
        <is>
          <t>M</t>
        </is>
      </c>
      <c r="J38" s="12" t="inlineStr">
        <is>
          <t>LM7171AIN/NOPB</t>
        </is>
      </c>
      <c r="K38" s="12" t="inlineStr">
        <is>
          <t>926-LM7171AIN/NOPB</t>
        </is>
      </c>
      <c r="L38" s="12" t="inlineStr">
        <is>
          <t>LM7171AIN/NOPB-ND</t>
        </is>
      </c>
      <c r="M38" s="14" t="n">
        <v>7.95</v>
      </c>
      <c r="N38" s="14">
        <f>E38*M38</f>
        <v/>
      </c>
      <c r="O38" s="12" t="inlineStr">
        <is>
          <t>2 needed + 1 spare | LM7171BIN (B grade, not A — fine for AC-coupled RF use)</t>
        </is>
      </c>
    </row>
    <row r="39">
      <c r="A39" s="12" t="inlineStr">
        <is>
          <t>KEYER</t>
        </is>
      </c>
      <c r="B39" s="12" t="inlineStr">
        <is>
          <t>XU3,4</t>
        </is>
      </c>
      <c r="C39" s="12" t="inlineStr">
        <is>
          <t>DIP-8 IC socket, machined pin</t>
        </is>
      </c>
      <c r="D39" s="12" t="inlineStr">
        <is>
          <t>DIP-8 socket</t>
        </is>
      </c>
      <c r="E39" s="13" t="n">
        <v>3</v>
      </c>
      <c r="F39" s="10" t="n">
        <v>4</v>
      </c>
      <c r="G39" s="10" t="n">
        <v>4</v>
      </c>
      <c r="H39" s="10" t="n"/>
      <c r="I39" s="10" t="inlineStr">
        <is>
          <t>M</t>
        </is>
      </c>
      <c r="J39" s="12" t="inlineStr">
        <is>
          <t xml:space="preserve"> (machined)</t>
        </is>
      </c>
      <c r="K39" s="12" t="inlineStr">
        <is>
          <t>575-1102871</t>
        </is>
      </c>
      <c r="L39" s="12" t="inlineStr">
        <is>
          <t>AE9986-ND</t>
        </is>
      </c>
      <c r="M39" s="14" t="n">
        <v>0.55</v>
      </c>
      <c r="N39" s="14">
        <f>E39*M39</f>
        <v/>
      </c>
      <c r="O39" s="12" t="inlineStr">
        <is>
          <t>For LM7171 x 2 + MCP4921 | Mill-Max DIP-8 machined</t>
        </is>
      </c>
    </row>
    <row r="40">
      <c r="A40" s="12" t="inlineStr">
        <is>
          <t>KEYER</t>
        </is>
      </c>
      <c r="B40" s="12" t="inlineStr">
        <is>
          <t>C_IN, C_OUT</t>
        </is>
      </c>
      <c r="C40" s="12" t="inlineStr">
        <is>
          <t>100 nF X7R ceramic 50V</t>
        </is>
      </c>
      <c r="D40" s="12" t="inlineStr">
        <is>
          <t>radial 5mm</t>
        </is>
      </c>
      <c r="E40" s="13" t="n">
        <v>8</v>
      </c>
      <c r="F40" s="10" t="n"/>
      <c r="G40" s="10" t="n">
        <v>30</v>
      </c>
      <c r="H40" s="10" t="n"/>
      <c r="I40" s="10" t="inlineStr">
        <is>
          <t>m</t>
        </is>
      </c>
      <c r="J40" s="12" t="inlineStr">
        <is>
          <t>m</t>
        </is>
      </c>
      <c r="K40" s="12" t="inlineStr">
        <is>
          <t>80-C320C104K5R</t>
        </is>
      </c>
      <c r="L40" s="12" t="inlineStr">
        <is>
          <t>399-9866-ND</t>
        </is>
      </c>
      <c r="M40" s="14" t="n">
        <v>0.2</v>
      </c>
      <c r="N40" s="14">
        <f>E40*M40</f>
        <v/>
      </c>
      <c r="O40" s="12" t="inlineStr">
        <is>
          <t>2 per LM7171 input AC couple; 2 per LM7171 output AC couple</t>
        </is>
      </c>
    </row>
    <row r="41">
      <c r="A41" s="12" t="inlineStr">
        <is>
          <t>KEYER</t>
        </is>
      </c>
      <c r="B41" s="12" t="inlineStr">
        <is>
          <t>R_B</t>
        </is>
      </c>
      <c r="C41" s="12" t="inlineStr">
        <is>
          <t>100 kohm 1% metal film 1/4W</t>
        </is>
      </c>
      <c r="D41" s="12" t="inlineStr">
        <is>
          <t>axial THT</t>
        </is>
      </c>
      <c r="E41" s="13" t="n">
        <v>2</v>
      </c>
      <c r="F41" s="10" t="n">
        <v>2</v>
      </c>
      <c r="G41" s="10" t="n"/>
      <c r="H41" s="10" t="n"/>
      <c r="I41" s="10" t="n"/>
      <c r="J41" s="12" t="n"/>
      <c r="K41" s="12" t="inlineStr">
        <is>
          <t>603-MFR-25FRF52-100K</t>
        </is>
      </c>
      <c r="L41" s="12" t="n"/>
      <c r="M41" s="14" t="n">
        <v>0.1</v>
      </c>
      <c r="N41" s="14">
        <f>E41*M41</f>
        <v/>
      </c>
      <c r="O41" s="12" t="inlineStr">
        <is>
          <t>LM7171 input bias | Have 100k in stock — REMOVE from cart (qty 5)</t>
        </is>
      </c>
    </row>
    <row r="42">
      <c r="A42" s="12" t="inlineStr">
        <is>
          <t>KEYER</t>
        </is>
      </c>
      <c r="B42" s="12" t="inlineStr">
        <is>
          <t>R_F</t>
        </is>
      </c>
      <c r="C42" s="12" t="inlineStr">
        <is>
          <t>47 kohm 1% metal film 1/4W</t>
        </is>
      </c>
      <c r="D42" s="12" t="inlineStr">
        <is>
          <t>axial THT</t>
        </is>
      </c>
      <c r="E42" s="13" t="n">
        <v>2</v>
      </c>
      <c r="F42" s="10" t="n">
        <v>2</v>
      </c>
      <c r="G42" s="10" t="n"/>
      <c r="H42" s="10" t="n"/>
      <c r="I42" s="10" t="n"/>
      <c r="J42" s="12" t="n"/>
      <c r="K42" s="12" t="inlineStr">
        <is>
          <t>603-MFR-25FRF52-47K</t>
        </is>
      </c>
      <c r="L42" s="12" t="n"/>
      <c r="M42" s="14" t="n">
        <v>0.1</v>
      </c>
      <c r="N42" s="14">
        <f>E42*M42</f>
        <v/>
      </c>
      <c r="O42" s="12" t="inlineStr">
        <is>
          <t>LM7171 feedback (gain 5.8) | Have 47k in stock — REMOVE from cart (qty 5)</t>
        </is>
      </c>
    </row>
    <row r="43">
      <c r="A43" s="12" t="inlineStr">
        <is>
          <t>KEYER</t>
        </is>
      </c>
      <c r="B43" s="12" t="inlineStr">
        <is>
          <t>R_G</t>
        </is>
      </c>
      <c r="C43" s="12" t="inlineStr">
        <is>
          <t>10 kohm 1% metal film 1/4W</t>
        </is>
      </c>
      <c r="D43" s="12" t="inlineStr">
        <is>
          <t>axial THT</t>
        </is>
      </c>
      <c r="E43" s="13" t="n">
        <v>2</v>
      </c>
      <c r="F43" s="10" t="n">
        <v>2</v>
      </c>
      <c r="G43" s="10" t="n">
        <v>5</v>
      </c>
      <c r="H43" s="10" t="n"/>
      <c r="I43" s="10" t="inlineStr">
        <is>
          <t>M</t>
        </is>
      </c>
      <c r="J43" s="12" t="inlineStr">
        <is>
          <t>m</t>
        </is>
      </c>
      <c r="K43" s="12" t="inlineStr">
        <is>
          <t>603-MFR-25FRF52-10K</t>
        </is>
      </c>
      <c r="L43" s="12" t="n"/>
      <c r="M43" s="14" t="n">
        <v>0.1</v>
      </c>
      <c r="N43" s="14">
        <f>E43*M43</f>
        <v/>
      </c>
      <c r="O43" s="12" t="inlineStr">
        <is>
          <t>LM7171 inverting leg to GND | Have 10k 1% in stock; ordered 0.1% precision (optional upgrade)</t>
        </is>
      </c>
    </row>
    <row r="44">
      <c r="A44" s="5" t="inlineStr">
        <is>
          <t>KEYER</t>
        </is>
      </c>
      <c r="B44" s="6" t="n"/>
      <c r="C44" s="7" t="inlineStr">
        <is>
          <t>--- Envelope DAC + reconstruction LPF ---</t>
        </is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</row>
    <row r="45">
      <c r="A45" s="12" t="inlineStr">
        <is>
          <t>KEYER</t>
        </is>
      </c>
      <c r="B45" s="12" t="inlineStr">
        <is>
          <t>U5</t>
        </is>
      </c>
      <c r="C45" s="12" t="inlineStr">
        <is>
          <t>MCP4921-E/P 12-bit SPI DAC</t>
        </is>
      </c>
      <c r="D45" s="12" t="inlineStr">
        <is>
          <t>DIP-8</t>
        </is>
      </c>
      <c r="E45" s="13" t="n">
        <v>2</v>
      </c>
      <c r="F45" s="10" t="n">
        <v>2</v>
      </c>
      <c r="G45" s="10" t="n">
        <v>2</v>
      </c>
      <c r="H45" s="10" t="n"/>
      <c r="I45" s="10" t="inlineStr">
        <is>
          <t>eBay</t>
        </is>
      </c>
      <c r="J45" s="12" t="inlineStr">
        <is>
          <t>MCP4921-E/P</t>
        </is>
      </c>
      <c r="K45" s="12" t="inlineStr">
        <is>
          <t>579-MCP4921-E/P</t>
        </is>
      </c>
      <c r="L45" s="12" t="inlineStr">
        <is>
          <t>MCP4921-E/P-ND</t>
        </is>
      </c>
      <c r="M45" s="14" t="n">
        <v>3.25</v>
      </c>
      <c r="N45" s="14">
        <f>E45*M45</f>
        <v/>
      </c>
      <c r="O45" s="12" t="inlineStr">
        <is>
          <t>1 + 1 spare | eBay 2pcs MCP4921 DIP-8 ($17.43) — REMOVE Mouser line 22</t>
        </is>
      </c>
    </row>
    <row r="46">
      <c r="A46" s="12" t="inlineStr">
        <is>
          <t>KEYER</t>
        </is>
      </c>
      <c r="B46" s="12" t="inlineStr">
        <is>
          <t>R_F_D</t>
        </is>
      </c>
      <c r="C46" s="12" t="inlineStr">
        <is>
          <t>1.5 kohm 1% metal film 1/4W</t>
        </is>
      </c>
      <c r="D46" s="12" t="inlineStr">
        <is>
          <t>axial THT</t>
        </is>
      </c>
      <c r="E46" s="13" t="n">
        <v>1</v>
      </c>
      <c r="F46" s="10" t="n">
        <v>1</v>
      </c>
      <c r="G46" s="10" t="n"/>
      <c r="H46" s="10" t="n"/>
      <c r="I46" s="10" t="n"/>
      <c r="J46" s="12" t="n"/>
      <c r="K46" s="12" t="inlineStr">
        <is>
          <t>603-MFR-25FRF52-1K5</t>
        </is>
      </c>
      <c r="L46" s="12" t="n"/>
      <c r="M46" s="14" t="n">
        <v>0.1</v>
      </c>
      <c r="N46" s="14">
        <f>E46*M46</f>
        <v/>
      </c>
      <c r="O46" s="12" t="inlineStr">
        <is>
          <t>DAC output to MC1496 pin 1 | Have 1.5k in stock (same as R13)</t>
        </is>
      </c>
    </row>
    <row r="47">
      <c r="A47" s="12" t="inlineStr">
        <is>
          <t>KEYER</t>
        </is>
      </c>
      <c r="B47" s="12" t="inlineStr">
        <is>
          <t>C_F</t>
        </is>
      </c>
      <c r="C47" s="12" t="inlineStr">
        <is>
          <t>680 nF polypropylene film (MKP) 63V+</t>
        </is>
      </c>
      <c r="D47" s="12" t="inlineStr">
        <is>
          <t>box 5mm</t>
        </is>
      </c>
      <c r="E47" s="13" t="n">
        <v>2</v>
      </c>
      <c r="F47" s="10" t="n"/>
      <c r="G47" s="10" t="n">
        <v>4</v>
      </c>
      <c r="H47" s="10" t="n"/>
      <c r="I47" s="10" t="inlineStr">
        <is>
          <t>M</t>
        </is>
      </c>
      <c r="J47" s="12" t="inlineStr">
        <is>
          <t>Wima MKP4 680 nF / 63 V</t>
        </is>
      </c>
      <c r="K47" s="12" t="inlineStr">
        <is>
          <t>871-B32921C3684K</t>
        </is>
      </c>
      <c r="L47" s="12" t="inlineStr">
        <is>
          <t>495-1395-ND</t>
        </is>
      </c>
      <c r="M47" s="14" t="n">
        <v>1.2</v>
      </c>
      <c r="N47" s="14">
        <f>E47*M47</f>
        <v/>
      </c>
      <c r="O47" s="12" t="inlineStr">
        <is>
          <t>DAC reconstruction LPF + 1 spare | WIMA MKP4 680nF/100V</t>
        </is>
      </c>
    </row>
    <row r="48">
      <c r="A48" s="5" t="inlineStr">
        <is>
          <t>KEYER</t>
        </is>
      </c>
      <c r="B48" s="6" t="n"/>
      <c r="C48" s="7" t="inlineStr">
        <is>
          <t>--- Per-IC supply bypass (one cap per supply pin) ---</t>
        </is>
      </c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</row>
    <row r="49">
      <c r="A49" s="12" t="inlineStr">
        <is>
          <t>KEYER</t>
        </is>
      </c>
      <c r="B49" s="12" t="inlineStr">
        <is>
          <t>CB_IC</t>
        </is>
      </c>
      <c r="C49" s="12" t="inlineStr">
        <is>
          <t>100 nF X7R ceramic 50V (per-IC bypass)</t>
        </is>
      </c>
      <c r="D49" s="12" t="inlineStr">
        <is>
          <t>radial 5mm</t>
        </is>
      </c>
      <c r="E49" s="13" t="n">
        <v>10</v>
      </c>
      <c r="F49" s="10" t="n"/>
      <c r="G49" s="10" t="n">
        <v>30</v>
      </c>
      <c r="H49" s="10" t="n"/>
      <c r="I49" s="10" t="inlineStr">
        <is>
          <t>M</t>
        </is>
      </c>
      <c r="J49" s="12" t="n"/>
      <c r="K49" s="12" t="inlineStr">
        <is>
          <t>80-C320C104K5R</t>
        </is>
      </c>
      <c r="L49" s="12" t="inlineStr">
        <is>
          <t>399-9866-ND</t>
        </is>
      </c>
      <c r="M49" s="14" t="n">
        <v>0.2</v>
      </c>
      <c r="N49" s="14">
        <f>E49*M49</f>
        <v/>
      </c>
      <c r="O49" s="12" t="inlineStr">
        <is>
          <t>1 at MC1496 pin 7 + 4 at LM7171 supplies + 1 at MCP4921 + spares | Kemet 0.1uF X7R × 30 (covers C2/C_IN/C_OUT/bypass)</t>
        </is>
      </c>
    </row>
    <row r="50">
      <c r="A50" s="12" t="inlineStr">
        <is>
          <t>KEYER</t>
        </is>
      </c>
      <c r="B50" s="12" t="inlineStr">
        <is>
          <t>CB_BLK</t>
        </is>
      </c>
      <c r="C50" s="12" t="inlineStr">
        <is>
          <t>10 uF tantalum 25V (per-rail bulk)</t>
        </is>
      </c>
      <c r="D50" s="12" t="inlineStr">
        <is>
          <t>radial 5mm</t>
        </is>
      </c>
      <c r="E50" s="13" t="n">
        <v>4</v>
      </c>
      <c r="F50" s="10" t="n"/>
      <c r="G50" s="10" t="n">
        <v>10</v>
      </c>
      <c r="H50" s="10" t="n"/>
      <c r="I50" s="10" t="inlineStr">
        <is>
          <t>M</t>
        </is>
      </c>
      <c r="J50" s="12" t="inlineStr">
        <is>
          <t>Kemet T350F106K025AT</t>
        </is>
      </c>
      <c r="K50" s="12" t="inlineStr">
        <is>
          <t>80-T350F106K025AT</t>
        </is>
      </c>
      <c r="L50" s="12" t="inlineStr">
        <is>
          <t>399-3801-ND</t>
        </is>
      </c>
      <c r="M50" s="14" t="n">
        <v>0.85</v>
      </c>
      <c r="N50" s="14">
        <f>E50*M50</f>
        <v/>
      </c>
      <c r="O50" s="12" t="inlineStr">
        <is>
          <t>Bulk: +12V, -8.3V, +5V, +3.3V | Aluminum electrolytic ECA-1EM100 (substituted from tantalum, saved $13)</t>
        </is>
      </c>
    </row>
    <row r="51">
      <c r="A51" s="5" t="inlineStr">
        <is>
          <t>POWER</t>
        </is>
      </c>
      <c r="B51" s="6" t="n"/>
      <c r="C51" s="7" t="inlineStr">
        <is>
          <t>--- Power input terminal block + -8.3V derivation from -90V ---</t>
        </is>
      </c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  <row r="52">
      <c r="A52" s="15" t="inlineStr">
        <is>
          <t>POWER</t>
        </is>
      </c>
      <c r="B52" s="15" t="inlineStr">
        <is>
          <t>J_PWR</t>
        </is>
      </c>
      <c r="C52" s="15" t="inlineStr">
        <is>
          <t>5-pos screw terminal block 5.08 mm pitch</t>
        </is>
      </c>
      <c r="D52" s="15" t="inlineStr">
        <is>
          <t>THT 5pos</t>
        </is>
      </c>
      <c r="E52" s="10" t="n">
        <v>1</v>
      </c>
      <c r="F52" s="10" t="n"/>
      <c r="G52" s="10" t="n">
        <v>3</v>
      </c>
      <c r="H52" s="10" t="n"/>
      <c r="I52" s="10" t="inlineStr">
        <is>
          <t>M</t>
        </is>
      </c>
      <c r="J52" s="15" t="n"/>
      <c r="K52" s="15" t="inlineStr">
        <is>
          <t>651-1715022</t>
        </is>
      </c>
      <c r="L52" s="15" t="inlineStr">
        <is>
          <t>277-1273-ND</t>
        </is>
      </c>
      <c r="M52" s="16" t="n">
        <v>1.85</v>
      </c>
      <c r="N52" s="16">
        <f>E52*M52</f>
        <v/>
      </c>
      <c r="O52" s="15" t="inlineStr">
        <is>
          <t>+12V, +5V, -8.3V, -90V (bias), GND | 3 × 2-pos (6 positions total; need 5 — OR swap to single 5-pos 1715061)</t>
        </is>
      </c>
    </row>
    <row r="53">
      <c r="A53" s="15" t="inlineStr">
        <is>
          <t>POWER</t>
        </is>
      </c>
      <c r="B53" s="15" t="inlineStr">
        <is>
          <t>D1</t>
        </is>
      </c>
      <c r="C53" s="15" t="inlineStr">
        <is>
          <t>1N4738A 8.2V zener 1W</t>
        </is>
      </c>
      <c r="D53" s="15" t="inlineStr">
        <is>
          <t>DO-41</t>
        </is>
      </c>
      <c r="E53" s="10" t="n">
        <v>5</v>
      </c>
      <c r="F53" s="10" t="n"/>
      <c r="G53" s="10" t="n">
        <v>8</v>
      </c>
      <c r="H53" s="10" t="n"/>
      <c r="I53" s="10" t="inlineStr">
        <is>
          <t>M</t>
        </is>
      </c>
      <c r="J53" s="15" t="inlineStr">
        <is>
          <t>1N4738A</t>
        </is>
      </c>
      <c r="K53" s="15" t="inlineStr">
        <is>
          <t>512-1N4738A</t>
        </is>
      </c>
      <c r="L53" s="15" t="inlineStr">
        <is>
          <t>1N4738A-TPCT-ND</t>
        </is>
      </c>
      <c r="M53" s="16" t="n">
        <v>0.18</v>
      </c>
      <c r="N53" s="16">
        <f>E53*M53</f>
        <v/>
      </c>
      <c r="O53" s="15" t="inlineStr">
        <is>
          <t>-8.3V derivation from -90V + spares</t>
        </is>
      </c>
    </row>
    <row r="54">
      <c r="A54" s="15" t="inlineStr">
        <is>
          <t>POWER</t>
        </is>
      </c>
      <c r="B54" s="15" t="inlineStr">
        <is>
          <t>R_DROP</t>
        </is>
      </c>
      <c r="C54" s="15" t="inlineStr">
        <is>
          <t>15 kohm 1W metal film resistor</t>
        </is>
      </c>
      <c r="D54" s="15" t="inlineStr">
        <is>
          <t>axial 1W</t>
        </is>
      </c>
      <c r="E54" s="10" t="n">
        <v>2</v>
      </c>
      <c r="F54" s="10" t="n"/>
      <c r="G54" s="10" t="n">
        <v>5</v>
      </c>
      <c r="H54" s="10" t="n"/>
      <c r="I54" s="10" t="inlineStr">
        <is>
          <t>M</t>
        </is>
      </c>
      <c r="J54" s="15" t="n"/>
      <c r="K54" s="15" t="inlineStr">
        <is>
          <t>603-PR01000101502JR500</t>
        </is>
      </c>
      <c r="L54" s="15" t="n"/>
      <c r="M54" s="16" t="n">
        <v>0.55</v>
      </c>
      <c r="N54" s="16">
        <f>E54*M54</f>
        <v/>
      </c>
      <c r="O54" s="15" t="inlineStr">
        <is>
          <t>-8.3V dropper from -90V rail + 1 spare | 15kΩ 1W (different from 1/4W stock)</t>
        </is>
      </c>
    </row>
    <row r="55">
      <c r="A55" s="5" t="inlineStr">
        <is>
          <t>CONN</t>
        </is>
      </c>
      <c r="B55" s="6" t="n"/>
      <c r="C55" s="7" t="inlineStr">
        <is>
          <t>--- Off-board connectors / headers ---</t>
        </is>
      </c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>
      <c r="A56" s="17" t="inlineStr">
        <is>
          <t>CONN</t>
        </is>
      </c>
      <c r="B56" s="17" t="inlineStr">
        <is>
          <t>J_RFOUT</t>
        </is>
      </c>
      <c r="C56" s="17" t="inlineStr">
        <is>
          <t>3-pin male header 0.1" pitch</t>
        </is>
      </c>
      <c r="D56" s="17" t="inlineStr">
        <is>
          <t>THT 1x3</t>
        </is>
      </c>
      <c r="E56" s="18" t="n">
        <v>1</v>
      </c>
      <c r="F56" s="10" t="n"/>
      <c r="G56" s="10" t="n">
        <v>2</v>
      </c>
      <c r="H56" s="10" t="n"/>
      <c r="I56" s="10" t="inlineStr">
        <is>
          <t>M</t>
        </is>
      </c>
      <c r="J56" s="17" t="n"/>
      <c r="K56" s="17" t="inlineStr">
        <is>
          <t>649-69190-403HLF</t>
        </is>
      </c>
      <c r="L56" s="17" t="inlineStr">
        <is>
          <t>S1011E-03-ND</t>
        </is>
      </c>
      <c r="M56" s="19" t="n">
        <v>0.5</v>
      </c>
      <c r="N56" s="19">
        <f>E56*M56</f>
        <v/>
      </c>
      <c r="O56" s="17" t="inlineStr">
        <is>
          <t>RF output to driver: HOT+, HOT-, GND</t>
        </is>
      </c>
    </row>
    <row r="57">
      <c r="A57" s="17" t="inlineStr">
        <is>
          <t>CONN</t>
        </is>
      </c>
      <c r="B57" s="17" t="inlineStr">
        <is>
          <t>J_SPI</t>
        </is>
      </c>
      <c r="C57" s="17" t="inlineStr">
        <is>
          <t>5-pin male header 0.1" pitch</t>
        </is>
      </c>
      <c r="D57" s="17" t="inlineStr">
        <is>
          <t>THT 1x5</t>
        </is>
      </c>
      <c r="E57" s="18" t="n">
        <v>1</v>
      </c>
      <c r="F57" s="10" t="n"/>
      <c r="G57" s="10" t="n">
        <v>2</v>
      </c>
      <c r="H57" s="10" t="n"/>
      <c r="I57" s="10" t="inlineStr">
        <is>
          <t>M</t>
        </is>
      </c>
      <c r="J57" s="17" t="n"/>
      <c r="K57" s="17" t="inlineStr">
        <is>
          <t>649-69190-405HLF</t>
        </is>
      </c>
      <c r="L57" s="17" t="inlineStr">
        <is>
          <t>S1011E-05-ND</t>
        </is>
      </c>
      <c r="M57" s="19" t="n">
        <v>0.55</v>
      </c>
      <c r="N57" s="19">
        <f>E57*M57</f>
        <v/>
      </c>
      <c r="O57" s="17" t="inlineStr">
        <is>
          <t>SPI to MCU: SCK, MOSI, CS, LDAC, GND</t>
        </is>
      </c>
    </row>
    <row r="58">
      <c r="A58" s="17" t="inlineStr">
        <is>
          <t>CONN</t>
        </is>
      </c>
      <c r="B58" s="17" t="inlineStr">
        <is>
          <t>J_PAD</t>
        </is>
      </c>
      <c r="C58" s="17" t="inlineStr">
        <is>
          <t>2-pin male header 0.1" pitch</t>
        </is>
      </c>
      <c r="D58" s="17" t="inlineStr">
        <is>
          <t>THT 1x2</t>
        </is>
      </c>
      <c r="E58" s="18" t="n">
        <v>1</v>
      </c>
      <c r="F58" s="10" t="n"/>
      <c r="G58" s="10" t="n">
        <v>2</v>
      </c>
      <c r="H58" s="10" t="n"/>
      <c r="I58" s="10" t="inlineStr">
        <is>
          <t>M</t>
        </is>
      </c>
      <c r="J58" s="17" t="n"/>
      <c r="K58" s="17" t="inlineStr">
        <is>
          <t>649-69190-402HLF</t>
        </is>
      </c>
      <c r="L58" s="17" t="inlineStr">
        <is>
          <t>S1011E-02-ND</t>
        </is>
      </c>
      <c r="M58" s="19" t="n">
        <v>0.45</v>
      </c>
      <c r="N58" s="19">
        <f>E58*M58</f>
        <v/>
      </c>
      <c r="O58" s="17" t="inlineStr">
        <is>
          <t>Paddle dit/dah input (or use jumper wires)</t>
        </is>
      </c>
    </row>
    <row r="59">
      <c r="A59" s="17" t="inlineStr">
        <is>
          <t>CONN</t>
        </is>
      </c>
      <c r="B59" s="17" t="inlineStr">
        <is>
          <t>WIRE3</t>
        </is>
      </c>
      <c r="C59" s="17" t="inlineStr">
        <is>
          <t>Hookup wire kit 22 AWG (6 colors)</t>
        </is>
      </c>
      <c r="D59" s="17" t="inlineStr">
        <is>
          <t>wire</t>
        </is>
      </c>
      <c r="E59" s="18" t="n">
        <v>1</v>
      </c>
      <c r="F59" s="10" t="n"/>
      <c r="G59" s="10" t="n"/>
      <c r="H59" s="10" t="n"/>
      <c r="I59" s="10" t="n"/>
      <c r="J59" s="17" t="n"/>
      <c r="K59" s="17" t="inlineStr">
        <is>
          <t>602-9314-4-100-WT005</t>
        </is>
      </c>
      <c r="L59" s="17" t="n"/>
      <c r="M59" s="19" t="n">
        <v>30</v>
      </c>
      <c r="N59" s="19">
        <f>E59*M59</f>
        <v/>
      </c>
      <c r="O59" s="17" t="inlineStr">
        <is>
          <t>Inter-board + paddle wiring; OWN already? | Use existing hookup wire stock</t>
        </is>
      </c>
    </row>
    <row r="60">
      <c r="A60" s="5" t="inlineStr">
        <is>
          <t>TEST</t>
        </is>
      </c>
      <c r="B60" s="6" t="n"/>
      <c r="C60" s="7" t="inlineStr">
        <is>
          <t>--- Bench bring-up extras (not on PCB) ---</t>
        </is>
      </c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</row>
    <row r="61">
      <c r="A61" s="20" t="inlineStr">
        <is>
          <t>TEST</t>
        </is>
      </c>
      <c r="B61" s="20" t="inlineStr">
        <is>
          <t>PROBE</t>
        </is>
      </c>
      <c r="C61" s="20" t="inlineStr">
        <is>
          <t>50 ohm BNC bulkhead jack</t>
        </is>
      </c>
      <c r="D61" s="20" t="inlineStr">
        <is>
          <t>panel</t>
        </is>
      </c>
      <c r="E61" s="21" t="n">
        <v>2</v>
      </c>
      <c r="F61" s="10" t="n"/>
      <c r="G61" s="10" t="n"/>
      <c r="H61" s="10" t="n"/>
      <c r="I61" s="10" t="n"/>
      <c r="J61" s="20" t="n"/>
      <c r="K61" s="20" t="inlineStr">
        <is>
          <t>523-31-221-RFX</t>
        </is>
      </c>
      <c r="L61" s="20" t="inlineStr">
        <is>
          <t>ACX1230-ND</t>
        </is>
      </c>
      <c r="M61" s="22" t="n">
        <v>6.5</v>
      </c>
      <c r="N61" s="22">
        <f>E61*M61</f>
        <v/>
      </c>
      <c r="O61" s="20" t="inlineStr">
        <is>
          <t>Scope tap-offs at LPF out and MC1496 out (optional) | Optional, defer</t>
        </is>
      </c>
    </row>
    <row r="62"/>
    <row r="63">
      <c r="L63" s="23" t="inlineStr">
        <is>
          <t>TOTAL:</t>
        </is>
      </c>
      <c r="N63" s="24">
        <f>SUM(N2:N61)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18.75" customHeight="1">
      <c r="A1" s="2" t="inlineStr">
        <is>
          <t>VFO + Keyer Parts Order - Instructions</t>
        </is>
      </c>
    </row>
    <row r="3">
      <c r="A3" s="3" t="inlineStr">
        <is>
          <t>Columns:</t>
        </is>
      </c>
    </row>
    <row r="4">
      <c r="A4" t="inlineStr">
        <is>
          <t xml:space="preserve">  Section      VFO / KEYER / POWER / CONN / TEST</t>
        </is>
      </c>
    </row>
    <row r="5">
      <c r="A5" t="inlineStr">
        <is>
          <t xml:space="preserve">  Ref          Reference designator from the KiCad schematic</t>
        </is>
      </c>
    </row>
    <row r="6">
      <c r="A6" t="inlineStr">
        <is>
          <t xml:space="preserve">  Value        Spec to order (value + tolerance + voltage)</t>
        </is>
      </c>
    </row>
    <row r="7">
      <c r="A7" t="inlineStr">
        <is>
          <t xml:space="preserve">  Package      Physical form factor for the PCB footprint</t>
        </is>
      </c>
    </row>
    <row r="8">
      <c r="A8" t="inlineStr">
        <is>
          <t xml:space="preserve">  Qty          Number to order (includes spares where critical)</t>
        </is>
      </c>
    </row>
    <row r="9">
      <c r="A9" t="inlineStr">
        <is>
          <t xml:space="preserve">  On Hand       Mark X if you already have it in stock</t>
        </is>
      </c>
    </row>
    <row r="10">
      <c r="A10" t="inlineStr">
        <is>
          <t xml:space="preserve">  Ordered       Mark X when the PO goes out</t>
        </is>
      </c>
    </row>
    <row r="11">
      <c r="A11" t="inlineStr">
        <is>
          <t xml:space="preserve">  Received      Mark X when the parts arrive</t>
        </is>
      </c>
    </row>
    <row r="12">
      <c r="A12" t="inlineStr">
        <is>
          <t xml:space="preserve">  Ordered From  Which supplier you actually ordered from (M / DK / A / KP)</t>
        </is>
      </c>
    </row>
    <row r="13">
      <c r="A13" t="inlineStr">
        <is>
          <t xml:space="preserve">  Mouser P/N    Mouser catalog number</t>
        </is>
      </c>
    </row>
    <row r="14">
      <c r="A14" t="inlineStr">
        <is>
          <t xml:space="preserve">  Digi-Key P/N  Digi-Key catalog number (where known; some parts left blank</t>
        </is>
      </c>
    </row>
    <row r="15">
      <c r="A15" t="inlineStr">
        <is>
          <t xml:space="preserve">                because Yageo MFR-25 axial resistor P/Ns vary by value - search</t>
        </is>
      </c>
    </row>
    <row r="16">
      <c r="A16" t="inlineStr">
        <is>
          <t xml:space="preserve">                Digi-Key for "Yageo MFR-25" + value + tolerance)</t>
        </is>
      </c>
    </row>
    <row r="17">
      <c r="A17" t="inlineStr">
        <is>
          <t xml:space="preserve">  Unit $        Estimated unit price (verify when ordering)</t>
        </is>
      </c>
    </row>
    <row r="18">
      <c r="A18" t="inlineStr">
        <is>
          <t xml:space="preserve">  Ext $         Auto = Qty x Unit $</t>
        </is>
      </c>
    </row>
    <row r="19">
      <c r="A19" t="inlineStr">
        <is>
          <t xml:space="preserve">  Notes         Substitutions, matching requirements, gotchas</t>
        </is>
      </c>
    </row>
    <row r="21">
      <c r="A21" s="3" t="inlineStr">
        <is>
          <t>Sections:</t>
        </is>
      </c>
    </row>
    <row r="22">
      <c r="A22" t="inlineStr">
        <is>
          <t xml:space="preserve">  VFO     Si5351 module + jumper hardware + pi pad + 7-pole LPF + J310 buffer</t>
        </is>
      </c>
    </row>
    <row r="23">
      <c r="A23" t="inlineStr">
        <is>
          <t xml:space="preserve">  KEYER   MC1496 + bias network + PNP null injection + LM7171 post-amps + MCP4921 envelope DAC</t>
        </is>
      </c>
    </row>
    <row r="24">
      <c r="A24" t="inlineStr">
        <is>
          <t xml:space="preserve">  POWER   Power input terminal block + bulk bypass + -8.3V derivation from -90V</t>
        </is>
      </c>
    </row>
    <row r="25">
      <c r="A25" t="inlineStr">
        <is>
          <t xml:space="preserve">  CONN    Off-board headers (SPI, RF out, paddle)</t>
        </is>
      </c>
    </row>
    <row r="26">
      <c r="A26" t="inlineStr">
        <is>
          <t xml:space="preserve">  TEST    Bench bring-up extras (BNC tap-offs for scope, etc.)</t>
        </is>
      </c>
    </row>
    <row r="28">
      <c r="A28" s="3" t="inlineStr">
        <is>
          <t>Bench bring-up notes:</t>
        </is>
      </c>
    </row>
    <row r="29">
      <c r="A29" t="inlineStr">
        <is>
          <t xml:space="preserve">  - Bench supplies provide +12V, -8.3V, +5V (and -90V if testing on-board zener+dropper)</t>
        </is>
      </c>
    </row>
    <row r="30">
      <c r="A30" t="inlineStr">
        <is>
          <t xml:space="preserve">  - First bring-up: bypass J310 source follower with 0R jumper at Q1 footprint</t>
        </is>
      </c>
    </row>
    <row r="31">
      <c r="A31" t="inlineStr">
        <is>
          <t xml:space="preserve">  - Match PNP transistors T1/T2 by DMM Vbe (~5mV tolerance) for cleanest carrier null</t>
        </is>
      </c>
    </row>
    <row r="32">
      <c r="A32" t="inlineStr">
        <is>
          <t xml:space="preserve">  - Match RLa/RLb (3.9k) by DMM for differential balance (~1% tolerance)</t>
        </is>
      </c>
    </row>
    <row r="33">
      <c r="A33" t="inlineStr">
        <is>
          <t xml:space="preserve">  - MC1496 R4 (51 ohm at pin 1) forms divider with R_F_D (1.5k); sets envelope DAC scale</t>
        </is>
      </c>
    </row>
    <row r="35">
      <c r="A35" s="3" t="inlineStr">
        <is>
          <t>NOT included on this list (separate orders):</t>
        </is>
      </c>
    </row>
    <row r="36">
      <c r="A36" t="inlineStr">
        <is>
          <t xml:space="preserve">  - WH2004A LCD display (separate parts list when display section is built)</t>
        </is>
      </c>
    </row>
    <row r="37">
      <c r="A37" t="inlineStr">
        <is>
          <t xml:space="preserve">  - Rotary encoder + paddle key (your choice; not blocking bench bring-up)</t>
        </is>
      </c>
    </row>
    <row r="38">
      <c r="A38" t="inlineStr">
        <is>
          <t xml:space="preserve">  - MCU board (Adafruit Metro ESP32-S3 - already owned)</t>
        </is>
      </c>
    </row>
    <row r="39">
      <c r="A39" t="inlineStr">
        <is>
          <t xml:space="preserve">  - PA-side parts: bias DAC MCP4728, OPA454, cathode monitor, MCP23017 GPIO expander</t>
        </is>
      </c>
    </row>
    <row r="40">
      <c r="A40" t="inlineStr">
        <is>
          <t xml:space="preserve">  - Power supply transformers, mains hardware, chassis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2026-06-17T20:05:36Z</dcterms:created>
  <dcterms:modified xmlns:dcterms="http://purl.org/dc/terms/" xmlns:xsi="http://www.w3.org/2001/XMLSchema-instance" xsi:type="dcterms:W3CDTF">2026-06-18T16:20:38Z</dcterms:modified>
  <cp:lastModifiedBy>al gelders</cp:lastModifiedBy>
</cp:coreProperties>
</file>