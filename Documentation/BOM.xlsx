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>
    <definedName name="_xlnm._FilterDatabase" localSheetId="0" hidden="1">'BOM'!$A$1:$I$1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DEE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D9B3"/>
      </patternFill>
    </fill>
    <fill>
      <patternFill patternType="solid">
        <fgColor rgb="00C6EFCE"/>
      </patternFill>
    </fill>
    <fill>
      <patternFill patternType="solid">
        <fgColor rgb="00EAD1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horizontal="center" vertical="top"/>
    </xf>
    <xf numFmtId="0" fontId="2" fillId="8" borderId="1" applyAlignment="1" pivotButton="0" quotePrefix="0" xfId="0">
      <alignment vertical="top" wrapText="1"/>
    </xf>
    <xf numFmtId="0" fontId="2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vertical="top" wrapText="1"/>
    </xf>
    <xf numFmtId="0" fontId="2" fillId="9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60" customWidth="1" min="4" max="4"/>
    <col width="14" customWidth="1" min="5" max="5"/>
    <col width="6" customWidth="1" min="6" max="6"/>
    <col width="28" customWidth="1" min="7" max="7"/>
    <col width="14" customWidth="1" min="8" max="8"/>
    <col width="10" customWidth="1" min="9" max="9"/>
  </cols>
  <sheetData>
    <row r="1" ht="20" customHeight="1">
      <c r="A1" s="1" t="inlineStr">
        <is>
          <t>Part Type</t>
        </is>
      </c>
      <c r="B1" s="1" t="inlineStr">
        <is>
          <t>Reference</t>
        </is>
      </c>
      <c r="C1" s="1" t="inlineStr">
        <is>
          <t>Value</t>
        </is>
      </c>
      <c r="D1" s="1" t="inlineStr">
        <is>
          <t>Notes</t>
        </is>
      </c>
      <c r="E1" s="1" t="inlineStr">
        <is>
          <t>Sheet(s)</t>
        </is>
      </c>
      <c r="F1" s="1" t="inlineStr">
        <is>
          <t>Qty</t>
        </is>
      </c>
      <c r="G1" s="1" t="inlineStr">
        <is>
          <t>Datasheet</t>
        </is>
      </c>
      <c r="H1" s="1" t="inlineStr">
        <is>
          <t>Supplier</t>
        </is>
      </c>
      <c r="I1" s="1" t="inlineStr">
        <is>
          <t>Obtained</t>
        </is>
      </c>
    </row>
    <row r="2" ht="30" customHeight="1">
      <c r="A2" s="2" t="inlineStr">
        <is>
          <t>Resistor</t>
        </is>
      </c>
      <c r="B2" s="2" t="inlineStr">
        <is>
          <t>RP1, RP3</t>
        </is>
      </c>
      <c r="C2" s="2" t="inlineStr">
        <is>
          <t>150Ω</t>
        </is>
      </c>
      <c r="D2" s="2" t="inlineStr">
        <is>
          <t>Metal film 1%; pi-attenuator shunt (2 identical)</t>
        </is>
      </c>
      <c r="E2" s="3" t="inlineStr">
        <is>
          <t>VFO</t>
        </is>
      </c>
      <c r="F2" s="3" t="n">
        <v>2</v>
      </c>
      <c r="G2" s="2" t="inlineStr"/>
      <c r="H2" s="2" t="inlineStr"/>
      <c r="I2" s="3" t="inlineStr"/>
    </row>
    <row r="3" ht="30" customHeight="1">
      <c r="A3" s="2" t="inlineStr">
        <is>
          <t>Resistor</t>
        </is>
      </c>
      <c r="B3" s="2" t="inlineStr">
        <is>
          <t>RP2</t>
        </is>
      </c>
      <c r="C3" s="2" t="inlineStr">
        <is>
          <t>39Ω</t>
        </is>
      </c>
      <c r="D3" s="2" t="inlineStr">
        <is>
          <t>Metal film 1%; pi-attenuator series arm</t>
        </is>
      </c>
      <c r="E3" s="3" t="inlineStr">
        <is>
          <t>VFO</t>
        </is>
      </c>
      <c r="F3" s="3" t="n">
        <v>1</v>
      </c>
      <c r="G3" s="2" t="inlineStr"/>
      <c r="H3" s="2" t="inlineStr"/>
      <c r="I3" s="3" t="inlineStr"/>
    </row>
    <row r="4" ht="30" customHeight="1">
      <c r="A4" s="2" t="inlineStr">
        <is>
          <t>Resistor</t>
        </is>
      </c>
      <c r="B4" s="2" t="inlineStr">
        <is>
          <t>RGL</t>
        </is>
      </c>
      <c r="C4" s="2" t="inlineStr">
        <is>
          <t>1MΩ</t>
        </is>
      </c>
      <c r="D4" s="2" t="inlineStr">
        <is>
          <t>J310 gate bias</t>
        </is>
      </c>
      <c r="E4" s="3" t="inlineStr">
        <is>
          <t>VFO</t>
        </is>
      </c>
      <c r="F4" s="3" t="n">
        <v>1</v>
      </c>
      <c r="G4" s="2" t="inlineStr"/>
      <c r="H4" s="2" t="inlineStr"/>
      <c r="I4" s="3" t="inlineStr"/>
    </row>
    <row r="5" ht="30" customHeight="1">
      <c r="A5" s="2" t="inlineStr">
        <is>
          <t>Resistor</t>
        </is>
      </c>
      <c r="B5" s="2" t="inlineStr">
        <is>
          <t>RS1</t>
        </is>
      </c>
      <c r="C5" s="2" t="inlineStr">
        <is>
          <t>270Ω</t>
        </is>
      </c>
      <c r="D5" s="2" t="inlineStr">
        <is>
          <t>J310 source bias</t>
        </is>
      </c>
      <c r="E5" s="3" t="inlineStr">
        <is>
          <t>VFO</t>
        </is>
      </c>
      <c r="F5" s="3" t="n">
        <v>1</v>
      </c>
      <c r="G5" s="2" t="inlineStr"/>
      <c r="H5" s="2" t="inlineStr"/>
      <c r="I5" s="3" t="inlineStr"/>
    </row>
    <row r="6" ht="30" customHeight="1">
      <c r="A6" s="4" t="inlineStr">
        <is>
          <t>Capacitor</t>
        </is>
      </c>
      <c r="B6" s="4" t="inlineStr">
        <is>
          <t>CF1, CF5</t>
        </is>
      </c>
      <c r="C6" s="4" t="inlineStr">
        <is>
          <t>200pF</t>
        </is>
      </c>
      <c r="D6" s="4" t="inlineStr">
        <is>
          <t>NP0/C0G 1–2%; 5-pole LPF end caps (2 identical)</t>
        </is>
      </c>
      <c r="E6" s="5" t="inlineStr">
        <is>
          <t>VFO</t>
        </is>
      </c>
      <c r="F6" s="5" t="n">
        <v>2</v>
      </c>
      <c r="G6" s="4" t="inlineStr"/>
      <c r="H6" s="4" t="inlineStr"/>
      <c r="I6" s="5" t="inlineStr"/>
    </row>
    <row r="7" ht="30" customHeight="1">
      <c r="A7" s="4" t="inlineStr">
        <is>
          <t>Capacitor</t>
        </is>
      </c>
      <c r="B7" s="4" t="inlineStr">
        <is>
          <t>CF3</t>
        </is>
      </c>
      <c r="C7" s="4" t="inlineStr">
        <is>
          <t>360pF</t>
        </is>
      </c>
      <c r="D7" s="4" t="inlineStr">
        <is>
          <t>NP0/C0G 1–2%; 5-pole LPF centre cap</t>
        </is>
      </c>
      <c r="E7" s="5" t="inlineStr">
        <is>
          <t>VFO</t>
        </is>
      </c>
      <c r="F7" s="5" t="n">
        <v>1</v>
      </c>
      <c r="G7" s="4" t="inlineStr"/>
      <c r="H7" s="4" t="inlineStr"/>
      <c r="I7" s="5" t="inlineStr"/>
    </row>
    <row r="8" ht="30" customHeight="1">
      <c r="A8" s="4" t="inlineStr">
        <is>
          <t>Capacitor</t>
        </is>
      </c>
      <c r="B8" s="4" t="inlineStr">
        <is>
          <t>CC1</t>
        </is>
      </c>
      <c r="C8" s="4" t="inlineStr">
        <is>
          <t>10nF</t>
        </is>
      </c>
      <c r="D8" s="4" t="inlineStr">
        <is>
          <t>J310 gate coupling cap</t>
        </is>
      </c>
      <c r="E8" s="5" t="inlineStr">
        <is>
          <t>VFO</t>
        </is>
      </c>
      <c r="F8" s="5" t="n">
        <v>1</v>
      </c>
      <c r="G8" s="4" t="inlineStr"/>
      <c r="H8" s="4" t="inlineStr"/>
      <c r="I8" s="5" t="inlineStr"/>
    </row>
    <row r="9" ht="30" customHeight="1">
      <c r="A9" s="6" t="inlineStr">
        <is>
          <t>Inductor</t>
        </is>
      </c>
      <c r="B9" s="6" t="inlineStr">
        <is>
          <t>LF2, LF4</t>
        </is>
      </c>
      <c r="C9" s="6" t="inlineStr">
        <is>
          <t>624nH</t>
        </is>
      </c>
      <c r="D9" s="6" t="inlineStr">
        <is>
          <t>T-68-6 (Mix 6, yellow); ~12T #26AWG; 5-pole LPF series arms</t>
        </is>
      </c>
      <c r="E9" s="7" t="inlineStr">
        <is>
          <t>VFO</t>
        </is>
      </c>
      <c r="F9" s="7" t="n">
        <v>2</v>
      </c>
      <c r="G9" s="6" t="inlineStr"/>
      <c r="H9" s="6" t="inlineStr">
        <is>
          <t>Amidon / Kits&amp;Parts</t>
        </is>
      </c>
      <c r="I9" s="7" t="inlineStr"/>
    </row>
    <row r="10" ht="30" customHeight="1">
      <c r="A10" s="2" t="inlineStr">
        <is>
          <t>Resistor</t>
        </is>
      </c>
      <c r="B10" s="2" t="inlineStr">
        <is>
          <t>RT</t>
        </is>
      </c>
      <c r="C10" s="2" t="inlineStr">
        <is>
          <t>50Ω</t>
        </is>
      </c>
      <c r="D10" s="2" t="inlineStr">
        <is>
          <t>Metal film 1%; 5-pole LPF load termination — IS a discrete resistor (not Si5351A impedance)</t>
        </is>
      </c>
      <c r="E10" s="3" t="inlineStr">
        <is>
          <t>VFO</t>
        </is>
      </c>
      <c r="F10" s="3" t="n">
        <v>1</v>
      </c>
      <c r="G10" s="2" t="inlineStr"/>
      <c r="H10" s="2" t="inlineStr"/>
      <c r="I10" s="3" t="inlineStr"/>
    </row>
    <row r="11" ht="30" customHeight="1">
      <c r="A11" s="8" t="inlineStr">
        <is>
          <t>Semiconductor</t>
        </is>
      </c>
      <c r="B11" s="8" t="inlineStr">
        <is>
          <t>T1</t>
        </is>
      </c>
      <c r="C11" s="8" t="inlineStr">
        <is>
          <t>J310</t>
        </is>
      </c>
      <c r="D11" s="8" t="inlineStr">
        <is>
          <t>N-ch JFET; source follower output stage; TO-92</t>
        </is>
      </c>
      <c r="E11" s="9" t="inlineStr">
        <is>
          <t>VFO</t>
        </is>
      </c>
      <c r="F11" s="9" t="n">
        <v>1</v>
      </c>
      <c r="G11" s="8" t="inlineStr"/>
      <c r="H11" s="8" t="inlineStr"/>
      <c r="I11" s="9" t="inlineStr"/>
    </row>
    <row r="12" ht="30" customHeight="1">
      <c r="A12" s="10" t="inlineStr">
        <is>
          <t>IC</t>
        </is>
      </c>
      <c r="B12" s="10" t="inlineStr">
        <is>
          <t>U1</t>
        </is>
      </c>
      <c r="C12" s="10" t="inlineStr">
        <is>
          <t>MC1496 / LM1496</t>
        </is>
      </c>
      <c r="D12" s="10" t="inlineStr">
        <is>
          <t>Gilbert cell balanced modulator used as VCA; DIP-14; key-up null eliminates RF leakage</t>
        </is>
      </c>
      <c r="E12" s="11" t="inlineStr">
        <is>
          <t>Buffer/Keyer</t>
        </is>
      </c>
      <c r="F12" s="11" t="n">
        <v>1</v>
      </c>
      <c r="G12" s="10" t="inlineStr"/>
      <c r="H12" s="10" t="inlineStr"/>
      <c r="I12" s="11" t="inlineStr"/>
    </row>
    <row r="13" ht="30" customHeight="1">
      <c r="A13" s="10" t="inlineStr">
        <is>
          <t>IC</t>
        </is>
      </c>
      <c r="B13" s="10" t="inlineStr">
        <is>
          <t>A1</t>
        </is>
      </c>
      <c r="C13" s="10" t="inlineStr">
        <is>
          <t>TL071</t>
        </is>
      </c>
      <c r="D13" s="10" t="inlineStr">
        <is>
          <t>Error amp / integrator; DIP-8. Library has TL072 — verify pinout if substituting (pin-compatible)</t>
        </is>
      </c>
      <c r="E13" s="11" t="inlineStr">
        <is>
          <t>Buffer/Keyer</t>
        </is>
      </c>
      <c r="F13" s="11" t="n">
        <v>1</v>
      </c>
      <c r="G13" s="10" t="inlineStr"/>
      <c r="H13" s="10" t="inlineStr"/>
      <c r="I13" s="11" t="inlineStr"/>
    </row>
    <row r="14" ht="30" customHeight="1">
      <c r="A14" s="10" t="inlineStr">
        <is>
          <t>IC</t>
        </is>
      </c>
      <c r="B14" s="10" t="inlineStr">
        <is>
          <t>DAC</t>
        </is>
      </c>
      <c r="C14" s="10" t="inlineStr">
        <is>
          <t>MCP4921</t>
        </is>
      </c>
      <c r="D14" s="10" t="inlineStr">
        <is>
          <t>12-bit SPI DAC; envelope control to MC1496 modulating port; dedicated SPI bus (NOT shared with I2C)</t>
        </is>
      </c>
      <c r="E14" s="11" t="inlineStr">
        <is>
          <t>Buffer/Keyer</t>
        </is>
      </c>
      <c r="F14" s="11" t="n">
        <v>1</v>
      </c>
      <c r="G14" s="10" t="inlineStr"/>
      <c r="H14" s="10" t="inlineStr"/>
      <c r="I14" s="11" t="inlineStr"/>
    </row>
    <row r="15" ht="30" customHeight="1">
      <c r="A15" s="12" t="inlineStr">
        <is>
          <t>Transformer</t>
        </is>
      </c>
      <c r="B15" s="12" t="inlineStr">
        <is>
          <t>T1</t>
        </is>
      </c>
      <c r="C15" s="12" t="inlineStr">
        <is>
          <t>FT37-43</t>
        </is>
      </c>
      <c r="D15" s="12" t="inlineStr">
        <is>
          <t>Broadband push-pull interstage; 10+10T primary bifilar, 10+10T secondary bifilar; #28AWG; Fair-Rite Mix 43</t>
        </is>
      </c>
      <c r="E15" s="13" t="inlineStr">
        <is>
          <t>Buffer/Keyer</t>
        </is>
      </c>
      <c r="F15" s="13" t="n">
        <v>1</v>
      </c>
      <c r="G15" s="12" t="inlineStr"/>
      <c r="H15" s="12" t="inlineStr"/>
      <c r="I15" s="13" t="inlineStr"/>
    </row>
    <row r="16" ht="30" customHeight="1">
      <c r="A16" s="6" t="inlineStr">
        <is>
          <t>Inductor</t>
        </is>
      </c>
      <c r="B16" s="6" t="inlineStr">
        <is>
          <t>L_RFC</t>
        </is>
      </c>
      <c r="C16" s="6" t="inlineStr">
        <is>
          <t>100µH</t>
        </is>
      </c>
      <c r="D16" s="6" t="inlineStr">
        <is>
          <t>Molded RFC; +12V to T1 primary CT; push-pull RF currents cancel — only DC flows; standard SRF OK</t>
        </is>
      </c>
      <c r="E16" s="7" t="inlineStr">
        <is>
          <t>Buffer/Keyer</t>
        </is>
      </c>
      <c r="F16" s="7" t="n">
        <v>1</v>
      </c>
      <c r="G16" s="6" t="inlineStr"/>
      <c r="H16" s="6" t="inlineStr"/>
      <c r="I16" s="7" t="inlineStr"/>
    </row>
    <row r="17" ht="30" customHeight="1">
      <c r="A17" s="8" t="inlineStr">
        <is>
          <t>Semiconductor</t>
        </is>
      </c>
      <c r="B17" s="8" t="inlineStr">
        <is>
          <t>D1</t>
        </is>
      </c>
      <c r="C17" s="8" t="inlineStr">
        <is>
          <t>1N5711</t>
        </is>
      </c>
      <c r="D17" s="8" t="inlineStr">
        <is>
          <t>Schottky; RF detector — samples one grid for AGC leveling loop</t>
        </is>
      </c>
      <c r="E17" s="9" t="inlineStr">
        <is>
          <t>Buffer/Keyer</t>
        </is>
      </c>
      <c r="F17" s="9" t="n">
        <v>1</v>
      </c>
      <c r="G17" s="8" t="inlineStr"/>
      <c r="H17" s="8" t="inlineStr"/>
      <c r="I17" s="9" t="inlineStr"/>
    </row>
    <row r="18" ht="30" customHeight="1">
      <c r="A18" s="8" t="inlineStr">
        <is>
          <t>Semiconductor</t>
        </is>
      </c>
      <c r="B18" s="8" t="inlineStr">
        <is>
          <t>DZ1</t>
        </is>
      </c>
      <c r="C18" s="8" t="inlineStr">
        <is>
          <t>1N4738A</t>
        </is>
      </c>
      <c r="D18" s="8" t="inlineStr">
        <is>
          <t>8.2V zener; generates −8.2V rail for MC1496 VEE and TL071 V− from grid bias rail</t>
        </is>
      </c>
      <c r="E18" s="9" t="inlineStr">
        <is>
          <t>Buffer/Keyer</t>
        </is>
      </c>
      <c r="F18" s="9" t="n">
        <v>1</v>
      </c>
      <c r="G18" s="8" t="inlineStr"/>
      <c r="H18" s="8" t="inlineStr"/>
      <c r="I18" s="9" t="inlineStr"/>
    </row>
    <row r="19" ht="30" customHeight="1">
      <c r="A19" s="2" t="inlineStr">
        <is>
          <t>Resistor</t>
        </is>
      </c>
      <c r="B19" s="2" t="inlineStr">
        <is>
          <t>R_DROP</t>
        </is>
      </c>
      <c r="C19" s="2" t="inlineStr">
        <is>
          <t>15kΩ 1W</t>
        </is>
      </c>
      <c r="D19" s="2" t="inlineStr">
        <is>
          <t>Dropping resistor from grid bias rail (−60 to −80V) to 1N4738A; ≤300mW at −80V</t>
        </is>
      </c>
      <c r="E19" s="3" t="inlineStr">
        <is>
          <t>Buffer/Keyer</t>
        </is>
      </c>
      <c r="F19" s="3" t="n">
        <v>1</v>
      </c>
      <c r="G19" s="2" t="inlineStr"/>
      <c r="H19" s="2" t="inlineStr"/>
      <c r="I19" s="3" t="inlineStr"/>
    </row>
    <row r="20" ht="30" customHeight="1">
      <c r="A20" s="2" t="inlineStr">
        <is>
          <t>Resistor</t>
        </is>
      </c>
      <c r="B20" s="2" t="inlineStr">
        <is>
          <t>R_GL</t>
        </is>
      </c>
      <c r="C20" s="2" t="inlineStr">
        <is>
          <t>22kΩ</t>
        </is>
      </c>
      <c r="D20" s="2" t="inlineStr">
        <is>
          <t>T1 secondary CT grid-leak (or return to fixed −bias supply for Class C)</t>
        </is>
      </c>
      <c r="E20" s="3" t="inlineStr">
        <is>
          <t>Buffer/Keyer</t>
        </is>
      </c>
      <c r="F20" s="3" t="n">
        <v>1</v>
      </c>
      <c r="G20" s="2" t="inlineStr"/>
      <c r="H20" s="2" t="inlineStr"/>
      <c r="I20" s="3" t="inlineStr"/>
    </row>
    <row r="21" ht="30" customHeight="1">
      <c r="A21" s="2" t="inlineStr">
        <is>
          <t>Resistor</t>
        </is>
      </c>
      <c r="B21" s="2" t="inlineStr">
        <is>
          <t>RGS_A, RGS_B</t>
        </is>
      </c>
      <c r="C21" s="2" t="inlineStr">
        <is>
          <t>100Ω</t>
        </is>
      </c>
      <c r="D21" s="2" t="inlineStr">
        <is>
          <t>Grid stopper resistors — one per 12HG7 grid</t>
        </is>
      </c>
      <c r="E21" s="3" t="inlineStr">
        <is>
          <t>Buffer/Keyer</t>
        </is>
      </c>
      <c r="F21" s="3" t="n">
        <v>2</v>
      </c>
      <c r="G21" s="2" t="inlineStr"/>
      <c r="H21" s="2" t="inlineStr"/>
      <c r="I21" s="3" t="inlineStr"/>
    </row>
    <row r="22" ht="30" customHeight="1">
      <c r="A22" s="2" t="inlineStr">
        <is>
          <t>Resistor</t>
        </is>
      </c>
      <c r="B22" s="2" t="inlineStr">
        <is>
          <t>R_SCALE1</t>
        </is>
      </c>
      <c r="C22" s="2" t="inlineStr">
        <is>
          <t>100kΩ</t>
        </is>
      </c>
      <c r="D22" s="2" t="inlineStr">
        <is>
          <t>AGC divider upper leg: TL071 output → MC1496 signal port</t>
        </is>
      </c>
      <c r="E22" s="3" t="inlineStr">
        <is>
          <t>Buffer/Keyer</t>
        </is>
      </c>
      <c r="F22" s="3" t="n">
        <v>1</v>
      </c>
      <c r="G22" s="2" t="inlineStr"/>
      <c r="H22" s="2" t="inlineStr"/>
      <c r="I22" s="3" t="inlineStr"/>
    </row>
    <row r="23" ht="30" customHeight="1">
      <c r="A23" s="2" t="inlineStr">
        <is>
          <t>Resistor</t>
        </is>
      </c>
      <c r="B23" s="2" t="inlineStr">
        <is>
          <t>R_SCALE2</t>
        </is>
      </c>
      <c r="C23" s="2" t="inlineStr">
        <is>
          <t>5.1kΩ</t>
        </is>
      </c>
      <c r="D23" s="2" t="inlineStr">
        <is>
          <t>AGC divider lower leg (4.85% ratio); sets MC1496 control range</t>
        </is>
      </c>
      <c r="E23" s="3" t="inlineStr">
        <is>
          <t>Buffer/Keyer</t>
        </is>
      </c>
      <c r="F23" s="3" t="n">
        <v>1</v>
      </c>
      <c r="G23" s="2" t="inlineStr"/>
      <c r="H23" s="2" t="inlineStr"/>
      <c r="I23" s="3" t="inlineStr"/>
    </row>
    <row r="24" ht="30" customHeight="1">
      <c r="A24" s="2" t="inlineStr">
        <is>
          <t>Resistor</t>
        </is>
      </c>
      <c r="B24" s="2" t="inlineStr">
        <is>
          <t>R_SIG_P</t>
        </is>
      </c>
      <c r="C24" s="2" t="inlineStr">
        <is>
          <t>10kΩ</t>
        </is>
      </c>
      <c r="D24" s="2" t="inlineStr">
        <is>
          <t>MC1496 signal port + reference to GND</t>
        </is>
      </c>
      <c r="E24" s="3" t="inlineStr">
        <is>
          <t>Buffer/Keyer</t>
        </is>
      </c>
      <c r="F24" s="3" t="n">
        <v>1</v>
      </c>
      <c r="G24" s="2" t="inlineStr"/>
      <c r="H24" s="2" t="inlineStr"/>
      <c r="I24" s="3" t="inlineStr"/>
    </row>
    <row r="25" ht="30" customHeight="1">
      <c r="A25" s="2" t="inlineStr">
        <is>
          <t>Resistor</t>
        </is>
      </c>
      <c r="B25" s="2" t="inlineStr">
        <is>
          <t>R_BIAS</t>
        </is>
      </c>
      <c r="C25" s="2" t="inlineStr">
        <is>
          <t>1kΩ</t>
        </is>
      </c>
      <c r="D25" s="2" t="inlineStr">
        <is>
          <t>MC1496 bias pin (pin 2) to VEE</t>
        </is>
      </c>
      <c r="E25" s="3" t="inlineStr">
        <is>
          <t>Buffer/Keyer</t>
        </is>
      </c>
      <c r="F25" s="3" t="n">
        <v>1</v>
      </c>
      <c r="G25" s="2" t="inlineStr"/>
      <c r="H25" s="2" t="inlineStr"/>
      <c r="I25" s="3" t="inlineStr"/>
    </row>
    <row r="26" ht="30" customHeight="1">
      <c r="A26" s="2" t="inlineStr">
        <is>
          <t>Resistor</t>
        </is>
      </c>
      <c r="B26" s="2" t="inlineStr">
        <is>
          <t>R_RE</t>
        </is>
      </c>
      <c r="C26" s="2" t="inlineStr">
        <is>
          <t>1kΩ</t>
        </is>
      </c>
      <c r="D26" s="2" t="inlineStr">
        <is>
          <t>MC1496 RE_ext gain set (pin 5); sets Iee≈1mA. May change to 500Ω (doubles Iee) at bring-up</t>
        </is>
      </c>
      <c r="E26" s="3" t="inlineStr">
        <is>
          <t>Buffer/Keyer</t>
        </is>
      </c>
      <c r="F26" s="3" t="n">
        <v>1</v>
      </c>
      <c r="G26" s="2" t="inlineStr"/>
      <c r="H26" s="2" t="inlineStr"/>
      <c r="I26" s="3" t="inlineStr"/>
    </row>
    <row r="27" ht="30" customHeight="1">
      <c r="A27" s="2" t="inlineStr">
        <is>
          <t>Resistor</t>
        </is>
      </c>
      <c r="B27" s="2" t="inlineStr">
        <is>
          <t>R_INT</t>
        </is>
      </c>
      <c r="C27" s="2" t="inlineStr">
        <is>
          <t>100kΩ</t>
        </is>
      </c>
      <c r="D27" s="2" t="inlineStr">
        <is>
          <t>TL071 inverting input resistor</t>
        </is>
      </c>
      <c r="E27" s="3" t="inlineStr">
        <is>
          <t>Buffer/Keyer</t>
        </is>
      </c>
      <c r="F27" s="3" t="n">
        <v>1</v>
      </c>
      <c r="G27" s="2" t="inlineStr"/>
      <c r="H27" s="2" t="inlineStr"/>
      <c r="I27" s="3" t="inlineStr"/>
    </row>
    <row r="28" ht="30" customHeight="1">
      <c r="A28" s="2" t="inlineStr">
        <is>
          <t>Resistor</t>
        </is>
      </c>
      <c r="B28" s="2" t="inlineStr">
        <is>
          <t>R_FB</t>
        </is>
      </c>
      <c r="C28" s="2" t="inlineStr">
        <is>
          <t>470kΩ</t>
        </is>
      </c>
      <c r="D28" s="2" t="inlineStr">
        <is>
          <t>TL071 anti-windup / DC gain feedback</t>
        </is>
      </c>
      <c r="E28" s="3" t="inlineStr">
        <is>
          <t>Buffer/Keyer</t>
        </is>
      </c>
      <c r="F28" s="3" t="n">
        <v>1</v>
      </c>
      <c r="G28" s="2" t="inlineStr"/>
      <c r="H28" s="2" t="inlineStr"/>
      <c r="I28" s="3" t="inlineStr"/>
    </row>
    <row r="29" ht="30" customHeight="1">
      <c r="A29" s="2" t="inlineStr">
        <is>
          <t>Resistor</t>
        </is>
      </c>
      <c r="B29" s="2" t="inlineStr">
        <is>
          <t>R_DET</t>
        </is>
      </c>
      <c r="C29" s="2" t="inlineStr">
        <is>
          <t>330kΩ</t>
        </is>
      </c>
      <c r="D29" s="2" t="inlineStr">
        <is>
          <t>Detector diode trickle bias from +12V; keeps 1N5711 linear at low signal levels</t>
        </is>
      </c>
      <c r="E29" s="3" t="inlineStr">
        <is>
          <t>Buffer/Keyer</t>
        </is>
      </c>
      <c r="F29" s="3" t="n">
        <v>1</v>
      </c>
      <c r="G29" s="2" t="inlineStr"/>
      <c r="H29" s="2" t="inlineStr"/>
      <c r="I29" s="3" t="inlineStr"/>
    </row>
    <row r="30" ht="30" customHeight="1">
      <c r="A30" s="4" t="inlineStr">
        <is>
          <t>Capacitor</t>
        </is>
      </c>
      <c r="B30" s="4" t="inlineStr">
        <is>
          <t>C_INT</t>
        </is>
      </c>
      <c r="C30" s="4" t="inlineStr">
        <is>
          <t>1µF film</t>
        </is>
      </c>
      <c r="D30" s="4" t="inlineStr">
        <is>
          <t>TL071 integrator cap; film type for low leakage</t>
        </is>
      </c>
      <c r="E30" s="5" t="inlineStr">
        <is>
          <t>Buffer/Keyer</t>
        </is>
      </c>
      <c r="F30" s="5" t="n">
        <v>1</v>
      </c>
      <c r="G30" s="4" t="inlineStr"/>
      <c r="H30" s="4" t="inlineStr"/>
      <c r="I30" s="5" t="inlineStr"/>
    </row>
    <row r="31" ht="30" customHeight="1">
      <c r="A31" s="4" t="inlineStr">
        <is>
          <t>Capacitor</t>
        </is>
      </c>
      <c r="B31" s="4" t="inlineStr">
        <is>
          <t>C_DET</t>
        </is>
      </c>
      <c r="C31" s="4" t="inlineStr">
        <is>
          <t>10nF film</t>
        </is>
      </c>
      <c r="D31" s="4" t="inlineStr">
        <is>
          <t>Detector smoothing cap</t>
        </is>
      </c>
      <c r="E31" s="5" t="inlineStr">
        <is>
          <t>Buffer/Keyer</t>
        </is>
      </c>
      <c r="F31" s="5" t="n">
        <v>1</v>
      </c>
      <c r="G31" s="4" t="inlineStr"/>
      <c r="H31" s="4" t="inlineStr"/>
      <c r="I31" s="5" t="inlineStr"/>
    </row>
    <row r="32" ht="30" customHeight="1">
      <c r="A32" s="4" t="inlineStr">
        <is>
          <t>Capacitor</t>
        </is>
      </c>
      <c r="B32" s="4" t="inlineStr">
        <is>
          <t>C_DET_IN</t>
        </is>
      </c>
      <c r="C32" s="4" t="inlineStr">
        <is>
          <t>1000pF NP0</t>
        </is>
      </c>
      <c r="D32" s="4" t="inlineStr">
        <is>
          <t>Detector coupling from grid to 1N5711</t>
        </is>
      </c>
      <c r="E32" s="5" t="inlineStr">
        <is>
          <t>Buffer/Keyer</t>
        </is>
      </c>
      <c r="F32" s="5" t="n">
        <v>1</v>
      </c>
      <c r="G32" s="4" t="inlineStr"/>
      <c r="H32" s="4" t="inlineStr"/>
      <c r="I32" s="5" t="inlineStr"/>
    </row>
    <row r="33" ht="30" customHeight="1">
      <c r="A33" s="4" t="inlineStr">
        <is>
          <t>Capacitor</t>
        </is>
      </c>
      <c r="B33" s="4" t="inlineStr">
        <is>
          <t>C_GL</t>
        </is>
      </c>
      <c r="C33" s="4" t="inlineStr">
        <is>
          <t>10nF NP0</t>
        </is>
      </c>
      <c r="D33" s="4" t="inlineStr">
        <is>
          <t>RF bypass across T1CTS grid-leak resistor</t>
        </is>
      </c>
      <c r="E33" s="5" t="inlineStr">
        <is>
          <t>Buffer/Keyer</t>
        </is>
      </c>
      <c r="F33" s="5" t="n">
        <v>1</v>
      </c>
      <c r="G33" s="4" t="inlineStr"/>
      <c r="H33" s="4" t="inlineStr"/>
      <c r="I33" s="5" t="inlineStr"/>
    </row>
    <row r="34" ht="30" customHeight="1">
      <c r="A34" s="4" t="inlineStr">
        <is>
          <t>Capacitor</t>
        </is>
      </c>
      <c r="B34" s="4" t="inlineStr">
        <is>
          <t>C_Z1</t>
        </is>
      </c>
      <c r="C34" s="4" t="inlineStr">
        <is>
          <t>10µF electrolytic</t>
        </is>
      </c>
      <c r="D34" s="4" t="inlineStr">
        <is>
          <t>−8.2V rail bulk bypass</t>
        </is>
      </c>
      <c r="E34" s="5" t="inlineStr">
        <is>
          <t>Buffer/Keyer</t>
        </is>
      </c>
      <c r="F34" s="5" t="n">
        <v>1</v>
      </c>
      <c r="G34" s="4" t="inlineStr"/>
      <c r="H34" s="4" t="inlineStr"/>
      <c r="I34" s="5" t="inlineStr"/>
    </row>
    <row r="35" ht="30" customHeight="1">
      <c r="A35" s="4" t="inlineStr">
        <is>
          <t>Capacitor</t>
        </is>
      </c>
      <c r="B35" s="4" t="inlineStr">
        <is>
          <t>C_Z2</t>
        </is>
      </c>
      <c r="C35" s="4" t="inlineStr">
        <is>
          <t>100nF ceramic</t>
        </is>
      </c>
      <c r="D35" s="4" t="inlineStr">
        <is>
          <t>−8.2V rail HF bypass</t>
        </is>
      </c>
      <c r="E35" s="5" t="inlineStr">
        <is>
          <t>Buffer/Keyer</t>
        </is>
      </c>
      <c r="F35" s="5" t="n">
        <v>1</v>
      </c>
      <c r="G35" s="4" t="inlineStr"/>
      <c r="H35" s="4" t="inlineStr"/>
      <c r="I35" s="5" t="inlineStr"/>
    </row>
    <row r="36" ht="30" customHeight="1">
      <c r="A36" s="4" t="inlineStr">
        <is>
          <t>Capacitor</t>
        </is>
      </c>
      <c r="B36" s="4" t="inlineStr">
        <is>
          <t>C_MC_CARR</t>
        </is>
      </c>
      <c r="C36" s="4" t="inlineStr">
        <is>
          <t>100nF ceramic</t>
        </is>
      </c>
      <c r="D36" s="4" t="inlineStr">
        <is>
          <t>MC1496 carrier port − bypass (pin 8 to GND); keep lead short</t>
        </is>
      </c>
      <c r="E36" s="5" t="inlineStr">
        <is>
          <t>Buffer/Keyer</t>
        </is>
      </c>
      <c r="F36" s="5" t="n">
        <v>1</v>
      </c>
      <c r="G36" s="4" t="inlineStr"/>
      <c r="H36" s="4" t="inlineStr"/>
      <c r="I36" s="5" t="inlineStr"/>
    </row>
    <row r="37" ht="30" customHeight="1">
      <c r="A37" s="4" t="inlineStr">
        <is>
          <t>Capacitor</t>
        </is>
      </c>
      <c r="B37" s="4" t="inlineStr">
        <is>
          <t>C_MC_VEE</t>
        </is>
      </c>
      <c r="C37" s="4" t="inlineStr">
        <is>
          <t>100nF ceramic</t>
        </is>
      </c>
      <c r="D37" s="4" t="inlineStr">
        <is>
          <t>MC1496 VEE bypass (pin 7)</t>
        </is>
      </c>
      <c r="E37" s="5" t="inlineStr">
        <is>
          <t>Buffer/Keyer</t>
        </is>
      </c>
      <c r="F37" s="5" t="n">
        <v>1</v>
      </c>
      <c r="G37" s="4" t="inlineStr"/>
      <c r="H37" s="4" t="inlineStr"/>
      <c r="I37" s="5" t="inlineStr"/>
    </row>
    <row r="38" ht="30" customHeight="1">
      <c r="A38" s="14" t="inlineStr">
        <is>
          <t>Tube</t>
        </is>
      </c>
      <c r="B38" s="14" t="inlineStr">
        <is>
          <t>2× 12HG7</t>
        </is>
      </c>
      <c r="C38" s="14" t="inlineStr">
        <is>
          <t>12HG7</t>
        </is>
      </c>
      <c r="D38" s="14" t="inlineStr">
        <is>
          <t>Push-pull driver; 150V B+; push-pull pair</t>
        </is>
      </c>
      <c r="E38" s="15" t="inlineStr">
        <is>
          <t>Driver</t>
        </is>
      </c>
      <c r="F38" s="15" t="n">
        <v>2</v>
      </c>
      <c r="G38" s="14" t="inlineStr">
        <is>
          <t>12HG7.pdf</t>
        </is>
      </c>
      <c r="H38" s="14" t="inlineStr"/>
      <c r="I38" s="15" t="inlineStr"/>
    </row>
    <row r="39" ht="30" customHeight="1">
      <c r="A39" s="2" t="inlineStr">
        <is>
          <t>Resistor</t>
        </is>
      </c>
      <c r="B39" s="2" t="inlineStr">
        <is>
          <t>R2, R6</t>
        </is>
      </c>
      <c r="C39" s="2" t="inlineStr">
        <is>
          <t>1kΩ</t>
        </is>
      </c>
      <c r="D39" s="2" t="inlineStr">
        <is>
          <t>Screen resistors</t>
        </is>
      </c>
      <c r="E39" s="3" t="inlineStr">
        <is>
          <t>Driver</t>
        </is>
      </c>
      <c r="F39" s="3" t="n">
        <v>2</v>
      </c>
      <c r="G39" s="2" t="inlineStr"/>
      <c r="H39" s="2" t="inlineStr"/>
      <c r="I39" s="3" t="inlineStr"/>
    </row>
    <row r="40" ht="30" customHeight="1">
      <c r="A40" s="2" t="inlineStr">
        <is>
          <t>Resistor</t>
        </is>
      </c>
      <c r="B40" s="2" t="inlineStr">
        <is>
          <t>R4, R7</t>
        </is>
      </c>
      <c r="C40" s="2" t="inlineStr">
        <is>
          <t>47kΩ</t>
        </is>
      </c>
      <c r="D40" s="2" t="inlineStr">
        <is>
          <t>Grid bias resistors</t>
        </is>
      </c>
      <c r="E40" s="3" t="inlineStr">
        <is>
          <t>Driver</t>
        </is>
      </c>
      <c r="F40" s="3" t="n">
        <v>2</v>
      </c>
      <c r="G40" s="2" t="inlineStr"/>
      <c r="H40" s="2" t="inlineStr"/>
      <c r="I40" s="3" t="inlineStr"/>
    </row>
    <row r="41" ht="30" customHeight="1">
      <c r="A41" s="2" t="inlineStr">
        <is>
          <t>Resistor</t>
        </is>
      </c>
      <c r="B41" s="2" t="inlineStr">
        <is>
          <t>R1, R3, R8, R9</t>
        </is>
      </c>
      <c r="C41" s="2" t="inlineStr">
        <is>
          <t>100Ω</t>
        </is>
      </c>
      <c r="D41" s="2" t="inlineStr">
        <is>
          <t>4 identical resistors</t>
        </is>
      </c>
      <c r="E41" s="3" t="inlineStr">
        <is>
          <t>Driver</t>
        </is>
      </c>
      <c r="F41" s="3" t="n">
        <v>4</v>
      </c>
      <c r="G41" s="2" t="inlineStr"/>
      <c r="H41" s="2" t="inlineStr"/>
      <c r="I41" s="3" t="inlineStr"/>
    </row>
    <row r="42" ht="30" customHeight="1">
      <c r="A42" s="4" t="inlineStr">
        <is>
          <t>Capacitor</t>
        </is>
      </c>
      <c r="B42" s="4" t="inlineStr">
        <is>
          <t>C2, C4, C5</t>
        </is>
      </c>
      <c r="C42" s="4" t="inlineStr">
        <is>
          <t>10nF</t>
        </is>
      </c>
      <c r="D42" s="4" t="inlineStr">
        <is>
          <t>2× 10nF in parallel per position (shown as 0.01001µF in schematic); 3 positions = 6 caps total</t>
        </is>
      </c>
      <c r="E42" s="5" t="inlineStr">
        <is>
          <t>Driver</t>
        </is>
      </c>
      <c r="F42" s="5" t="n">
        <v>6</v>
      </c>
      <c r="G42" s="4" t="inlineStr"/>
      <c r="H42" s="4" t="inlineStr"/>
      <c r="I42" s="5" t="inlineStr"/>
    </row>
    <row r="43" ht="30" customHeight="1">
      <c r="A43" s="4" t="inlineStr">
        <is>
          <t>Capacitor</t>
        </is>
      </c>
      <c r="B43" s="4" t="inlineStr">
        <is>
          <t>C6, C7</t>
        </is>
      </c>
      <c r="C43" s="4" t="inlineStr">
        <is>
          <t>10nF</t>
        </is>
      </c>
      <c r="D43" s="4" t="inlineStr">
        <is>
          <t>Bypass caps</t>
        </is>
      </c>
      <c r="E43" s="5" t="inlineStr">
        <is>
          <t>Driver</t>
        </is>
      </c>
      <c r="F43" s="5" t="n">
        <v>2</v>
      </c>
      <c r="G43" s="4" t="inlineStr"/>
      <c r="H43" s="4" t="inlineStr"/>
      <c r="I43" s="5" t="inlineStr"/>
    </row>
    <row r="44" ht="30" customHeight="1">
      <c r="A44" s="6" t="inlineStr">
        <is>
          <t>Inductor</t>
        </is>
      </c>
      <c r="B44" s="6" t="inlineStr">
        <is>
          <t>L1, L3</t>
        </is>
      </c>
      <c r="C44" s="6" t="inlineStr">
        <is>
          <t>1µH</t>
        </is>
      </c>
      <c r="D44" s="6" t="inlineStr">
        <is>
          <t>Plate RFC; commercial molded choke; &gt;50mA</t>
        </is>
      </c>
      <c r="E44" s="7" t="inlineStr">
        <is>
          <t>Driver</t>
        </is>
      </c>
      <c r="F44" s="7" t="n">
        <v>2</v>
      </c>
      <c r="G44" s="6" t="inlineStr"/>
      <c r="H44" s="6" t="inlineStr"/>
      <c r="I44" s="7" t="inlineStr"/>
    </row>
    <row r="45" ht="30" customHeight="1">
      <c r="A45" s="14" t="inlineStr">
        <is>
          <t>Tube</t>
        </is>
      </c>
      <c r="B45" s="14" t="inlineStr">
        <is>
          <t>2× 6146B</t>
        </is>
      </c>
      <c r="C45" s="14" t="inlineStr">
        <is>
          <t>6146B</t>
        </is>
      </c>
      <c r="D45" s="14" t="inlineStr">
        <is>
          <t>600V B+, 200V screen, −70V grid; push-pull pair</t>
        </is>
      </c>
      <c r="E45" s="15" t="inlineStr">
        <is>
          <t>PA</t>
        </is>
      </c>
      <c r="F45" s="15" t="n">
        <v>2</v>
      </c>
      <c r="G45" s="14" t="inlineStr">
        <is>
          <t>6146b_big.pdf</t>
        </is>
      </c>
      <c r="H45" s="14" t="inlineStr"/>
      <c r="I45" s="15" t="inlineStr"/>
    </row>
    <row r="46" ht="30" customHeight="1">
      <c r="A46" s="2" t="inlineStr">
        <is>
          <t>Resistor</t>
        </is>
      </c>
      <c r="B46" s="2" t="inlineStr">
        <is>
          <t>R1, R5</t>
        </is>
      </c>
      <c r="C46" s="2" t="inlineStr">
        <is>
          <t>10Ω</t>
        </is>
      </c>
      <c r="D46" s="2" t="inlineStr">
        <is>
          <t>Cathode resistors; check power rating at operating current</t>
        </is>
      </c>
      <c r="E46" s="3" t="inlineStr">
        <is>
          <t>PA</t>
        </is>
      </c>
      <c r="F46" s="3" t="n">
        <v>2</v>
      </c>
      <c r="G46" s="2" t="inlineStr"/>
      <c r="H46" s="2" t="inlineStr"/>
      <c r="I46" s="3" t="inlineStr"/>
    </row>
    <row r="47" ht="30" customHeight="1">
      <c r="A47" s="2" t="inlineStr">
        <is>
          <t>Resistor</t>
        </is>
      </c>
      <c r="B47" s="2" t="inlineStr">
        <is>
          <t>R3, R7</t>
        </is>
      </c>
      <c r="C47" s="2" t="inlineStr">
        <is>
          <t>1kΩ</t>
        </is>
      </c>
      <c r="D47" s="2" t="inlineStr">
        <is>
          <t>Screen resistors</t>
        </is>
      </c>
      <c r="E47" s="3" t="inlineStr">
        <is>
          <t>PA</t>
        </is>
      </c>
      <c r="F47" s="3" t="n">
        <v>2</v>
      </c>
      <c r="G47" s="2" t="inlineStr"/>
      <c r="H47" s="2" t="inlineStr"/>
      <c r="I47" s="3" t="inlineStr"/>
    </row>
    <row r="48" ht="30" customHeight="1">
      <c r="A48" s="2" t="inlineStr">
        <is>
          <t>Resistor</t>
        </is>
      </c>
      <c r="B48" s="2" t="inlineStr">
        <is>
          <t>R4, R8</t>
        </is>
      </c>
      <c r="C48" s="2" t="inlineStr">
        <is>
          <t>22kΩ</t>
        </is>
      </c>
      <c r="D48" s="2" t="inlineStr">
        <is>
          <t>Grid bias resistors</t>
        </is>
      </c>
      <c r="E48" s="3" t="inlineStr">
        <is>
          <t>PA</t>
        </is>
      </c>
      <c r="F48" s="3" t="n">
        <v>2</v>
      </c>
      <c r="G48" s="2" t="inlineStr"/>
      <c r="H48" s="2" t="inlineStr"/>
      <c r="I48" s="3" t="inlineStr"/>
    </row>
    <row r="49" ht="30" customHeight="1">
      <c r="A49" s="2" t="inlineStr">
        <is>
          <t>Resistor</t>
        </is>
      </c>
      <c r="B49" s="2" t="inlineStr">
        <is>
          <t>R2, R6</t>
        </is>
      </c>
      <c r="C49" s="2" t="inlineStr">
        <is>
          <t>220Ω</t>
        </is>
      </c>
      <c r="D49" s="2" t="inlineStr"/>
      <c r="E49" s="3" t="inlineStr">
        <is>
          <t>PA</t>
        </is>
      </c>
      <c r="F49" s="3" t="n">
        <v>2</v>
      </c>
      <c r="G49" s="2" t="inlineStr"/>
      <c r="H49" s="2" t="inlineStr"/>
      <c r="I49" s="3" t="inlineStr"/>
    </row>
    <row r="50" ht="30" customHeight="1">
      <c r="A50" s="2" t="inlineStr">
        <is>
          <t>Resistor</t>
        </is>
      </c>
      <c r="B50" s="2" t="inlineStr">
        <is>
          <t>R14, R15</t>
        </is>
      </c>
      <c r="C50" s="2" t="inlineStr">
        <is>
          <t>47Ω</t>
        </is>
      </c>
      <c r="D50" s="2" t="inlineStr"/>
      <c r="E50" s="3" t="inlineStr">
        <is>
          <t>PA</t>
        </is>
      </c>
      <c r="F50" s="3" t="n">
        <v>2</v>
      </c>
      <c r="G50" s="2" t="inlineStr"/>
      <c r="H50" s="2" t="inlineStr"/>
      <c r="I50" s="3" t="inlineStr"/>
    </row>
    <row r="51" ht="30" customHeight="1">
      <c r="A51" s="4" t="inlineStr">
        <is>
          <t>Capacitor</t>
        </is>
      </c>
      <c r="B51" s="4" t="inlineStr">
        <is>
          <t>C6, C7</t>
        </is>
      </c>
      <c r="C51" s="4" t="inlineStr">
        <is>
          <t>0.24pF</t>
        </is>
      </c>
      <c r="D51" s="4" t="inlineStr">
        <is>
          <t>Cak compensation; verify availability — very low value</t>
        </is>
      </c>
      <c r="E51" s="5" t="inlineStr">
        <is>
          <t>PA</t>
        </is>
      </c>
      <c r="F51" s="5" t="n">
        <v>2</v>
      </c>
      <c r="G51" s="4" t="inlineStr"/>
      <c r="H51" s="4" t="inlineStr"/>
      <c r="I51" s="5" t="inlineStr"/>
    </row>
    <row r="52" ht="30" customHeight="1">
      <c r="A52" s="4" t="inlineStr">
        <is>
          <t>Capacitor</t>
        </is>
      </c>
      <c r="B52" s="4" t="inlineStr">
        <is>
          <t>C8, C10</t>
        </is>
      </c>
      <c r="C52" s="4" t="inlineStr">
        <is>
          <t>10nF</t>
        </is>
      </c>
      <c r="D52" s="4" t="inlineStr">
        <is>
          <t>Bypass; must be rated for HV (≥1kV)</t>
        </is>
      </c>
      <c r="E52" s="5" t="inlineStr">
        <is>
          <t>PA</t>
        </is>
      </c>
      <c r="F52" s="5" t="n">
        <v>2</v>
      </c>
      <c r="G52" s="4" t="inlineStr"/>
      <c r="H52" s="4" t="inlineStr"/>
      <c r="I52" s="5" t="inlineStr"/>
    </row>
    <row r="53" ht="30" customHeight="1">
      <c r="A53" s="4" t="inlineStr">
        <is>
          <t>Capacitor</t>
        </is>
      </c>
      <c r="B53" s="4" t="inlineStr">
        <is>
          <t>C9, C11</t>
        </is>
      </c>
      <c r="C53" s="4" t="inlineStr">
        <is>
          <t>100pF</t>
        </is>
      </c>
      <c r="D53" s="4" t="inlineStr">
        <is>
          <t>Bypass; must be rated for HV (≥1kV)</t>
        </is>
      </c>
      <c r="E53" s="5" t="inlineStr">
        <is>
          <t>PA</t>
        </is>
      </c>
      <c r="F53" s="5" t="n">
        <v>2</v>
      </c>
      <c r="G53" s="4" t="inlineStr"/>
      <c r="H53" s="4" t="inlineStr"/>
      <c r="I53" s="5" t="inlineStr"/>
    </row>
    <row r="54" ht="30" customHeight="1">
      <c r="A54" s="4" t="inlineStr">
        <is>
          <t>Capacitor</t>
        </is>
      </c>
      <c r="B54" s="4" t="inlineStr">
        <is>
          <t>C12, C13</t>
        </is>
      </c>
      <c r="C54" s="4" t="inlineStr">
        <is>
          <t>33pF</t>
        </is>
      </c>
      <c r="D54" s="4" t="inlineStr">
        <is>
          <t>Plate tank; ganged variable cap 8–100pF; user has these</t>
        </is>
      </c>
      <c r="E54" s="5" t="inlineStr">
        <is>
          <t>PA</t>
        </is>
      </c>
      <c r="F54" s="5" t="n">
        <v>2</v>
      </c>
      <c r="G54" s="4" t="inlineStr"/>
      <c r="H54" s="4" t="inlineStr"/>
      <c r="I54" s="5" t="inlineStr"/>
    </row>
    <row r="55" ht="30" customHeight="1">
      <c r="A55" s="6" t="inlineStr">
        <is>
          <t>Inductor</t>
        </is>
      </c>
      <c r="B55" s="6" t="inlineStr">
        <is>
          <t>L4, L5</t>
        </is>
      </c>
      <c r="C55" s="6" t="inlineStr">
        <is>
          <t>1.71µH ea</t>
        </is>
      </c>
      <c r="D55" s="6" t="inlineStr">
        <is>
          <t>T-106-6 (Mix 6); center-tapped tank halves wound on ONE core with L6; ~19T each half; see L6 row</t>
        </is>
      </c>
      <c r="E55" s="7" t="inlineStr">
        <is>
          <t>PA</t>
        </is>
      </c>
      <c r="F55" s="7" t="n">
        <v>1</v>
      </c>
      <c r="G55" s="6" t="inlineStr"/>
      <c r="H55" s="6" t="inlineStr">
        <is>
          <t>Amidon / Kits&amp;Parts</t>
        </is>
      </c>
      <c r="I55" s="7" t="inlineStr"/>
    </row>
    <row r="56" ht="30" customHeight="1">
      <c r="A56" s="6" t="inlineStr">
        <is>
          <t>Inductor</t>
        </is>
      </c>
      <c r="B56" s="6" t="inlineStr">
        <is>
          <t>L6</t>
        </is>
      </c>
      <c r="C56" s="6" t="inlineStr">
        <is>
          <t>0.27µH</t>
        </is>
      </c>
      <c r="D56" s="6" t="inlineStr">
        <is>
          <t>Tank link/output winding; same T-106-6 core as L4/L5; ~8T</t>
        </is>
      </c>
      <c r="E56" s="7" t="inlineStr">
        <is>
          <t>PA</t>
        </is>
      </c>
      <c r="F56" s="7" t="n">
        <v>1</v>
      </c>
      <c r="G56" s="6" t="inlineStr"/>
      <c r="H56" s="6" t="inlineStr">
        <is>
          <t>Amidon / Kits&amp;Parts</t>
        </is>
      </c>
      <c r="I56" s="7" t="inlineStr"/>
    </row>
    <row r="57" ht="30" customHeight="1">
      <c r="A57" s="6" t="inlineStr">
        <is>
          <t>Inductor</t>
        </is>
      </c>
      <c r="B57" s="6" t="inlineStr">
        <is>
          <t>L10, L11</t>
        </is>
      </c>
      <c r="C57" s="6" t="inlineStr">
        <is>
          <t>1µH</t>
        </is>
      </c>
      <c r="D57" s="6" t="inlineStr">
        <is>
          <t>Screen/supply decoupling choke; commercial molded; HV-rated</t>
        </is>
      </c>
      <c r="E57" s="7" t="inlineStr">
        <is>
          <t>PA</t>
        </is>
      </c>
      <c r="F57" s="7" t="n">
        <v>2</v>
      </c>
      <c r="G57" s="6" t="inlineStr"/>
      <c r="H57" s="6" t="inlineStr"/>
      <c r="I57" s="7" t="inlineStr"/>
    </row>
    <row r="58" ht="30" customHeight="1">
      <c r="A58" s="12" t="inlineStr">
        <is>
          <t>Transformer</t>
        </is>
      </c>
      <c r="B58" s="12" t="inlineStr">
        <is>
          <t>LP / LS</t>
        </is>
      </c>
      <c r="C58" s="12" t="inlineStr">
        <is>
          <t>14µH / 2.33µH</t>
        </is>
      </c>
      <c r="D58" s="12" t="inlineStr">
        <is>
          <t>FT-114-61 ferrite (AL=75); 15T primary : 6T secondary; 300Ω balanced → 50Ω unbal; 6.25:1 Z ratio; good through 10m</t>
        </is>
      </c>
      <c r="E58" s="13" t="inlineStr">
        <is>
          <t>Balun</t>
        </is>
      </c>
      <c r="F58" s="13" t="n">
        <v>1</v>
      </c>
      <c r="G58" s="12" t="inlineStr"/>
      <c r="H58" s="12" t="inlineStr">
        <is>
          <t>Amidon / Kits&amp;Parts</t>
        </is>
      </c>
      <c r="I58" s="13" t="inlineStr"/>
    </row>
    <row r="59" ht="30" customHeight="1">
      <c r="A59" s="4" t="inlineStr">
        <is>
          <t>Capacitor</t>
        </is>
      </c>
      <c r="B59" s="4" t="inlineStr">
        <is>
          <t>C1, C3</t>
        </is>
      </c>
      <c r="C59" s="4" t="inlineStr">
        <is>
          <t>300pF</t>
        </is>
      </c>
      <c r="D59" s="4" t="inlineStr">
        <is>
          <t>NP0/C0G 1–2%; 5-pole 0.5dB Chebyshev LPF fc=18MHz; end caps</t>
        </is>
      </c>
      <c r="E59" s="5" t="inlineStr">
        <is>
          <t>LPF (50Ω)</t>
        </is>
      </c>
      <c r="F59" s="5" t="n">
        <v>2</v>
      </c>
      <c r="G59" s="4" t="inlineStr"/>
      <c r="H59" s="4" t="inlineStr"/>
      <c r="I59" s="5" t="inlineStr"/>
    </row>
    <row r="60" ht="30" customHeight="1">
      <c r="A60" s="4" t="inlineStr">
        <is>
          <t>Capacitor</t>
        </is>
      </c>
      <c r="B60" s="4" t="inlineStr">
        <is>
          <t>C2</t>
        </is>
      </c>
      <c r="C60" s="4" t="inlineStr">
        <is>
          <t>450pF</t>
        </is>
      </c>
      <c r="D60" s="4" t="inlineStr">
        <is>
          <t>NP0/C0G 1–2%; 5-pole Chebyshev LPF centre cap</t>
        </is>
      </c>
      <c r="E60" s="5" t="inlineStr">
        <is>
          <t>LPF (50Ω)</t>
        </is>
      </c>
      <c r="F60" s="5" t="n">
        <v>1</v>
      </c>
      <c r="G60" s="4" t="inlineStr"/>
      <c r="H60" s="4" t="inlineStr"/>
      <c r="I60" s="5" t="inlineStr"/>
    </row>
    <row r="61" ht="30" customHeight="1">
      <c r="A61" s="6" t="inlineStr">
        <is>
          <t>Inductor</t>
        </is>
      </c>
      <c r="B61" s="6" t="inlineStr">
        <is>
          <t>L1, L2</t>
        </is>
      </c>
      <c r="C61" s="6" t="inlineStr">
        <is>
          <t>540nH</t>
        </is>
      </c>
      <c r="D61" s="6" t="inlineStr">
        <is>
          <t>T-68-6 (Mix 6, yellow); ~11T #26AWG; 5-pole Chebyshev LPF series arms</t>
        </is>
      </c>
      <c r="E61" s="7" t="inlineStr">
        <is>
          <t>LPF (50Ω)</t>
        </is>
      </c>
      <c r="F61" s="7" t="n">
        <v>2</v>
      </c>
      <c r="G61" s="6" t="inlineStr"/>
      <c r="H61" s="6" t="inlineStr">
        <is>
          <t>Amidon / Kits&amp;Parts</t>
        </is>
      </c>
      <c r="I61" s="7" t="inlineStr"/>
    </row>
  </sheetData>
  <autoFilter ref="A1:I1"/>
  <dataValidations count="1">
    <dataValidation sqref="I2:I61" showDropDown="0" showInputMessage="0" showErrorMessage="0" allowBlank="1" type="list">
      <formula1>"Yes,Ordered,No"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2026-06-05T14:30:24Z</dcterms:created>
  <dcterms:modified xmlns:dcterms="http://purl.org/dc/terms/" xmlns:xsi="http://www.w3.org/2001/XMLSchema-instance" xsi:type="dcterms:W3CDTF">2026-06-05T14:30:24Z</dcterms:modified>
</cp:coreProperties>
</file>