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9B3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4F0"/>
      </patternFill>
    </fill>
    <fill>
      <patternFill patternType="solid">
        <fgColor rgb="00C6EFCE"/>
      </patternFill>
    </fill>
    <fill>
      <patternFill patternType="solid">
        <fgColor rgb="00EAD1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  <col width="14" customWidth="1" min="5" max="5"/>
    <col width="6" customWidth="1" min="6" max="6"/>
    <col width="28" customWidth="1" min="7" max="7"/>
    <col width="14" customWidth="1" min="8" max="8"/>
    <col width="10" customWidth="1" min="9" max="9"/>
  </cols>
  <sheetData>
    <row r="1" ht="20" customHeight="1">
      <c r="A1" s="1" t="inlineStr">
        <is>
          <t>Part Type</t>
        </is>
      </c>
      <c r="B1" s="1" t="inlineStr">
        <is>
          <t>Reference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Sheet(s)</t>
        </is>
      </c>
      <c r="F1" s="1" t="inlineStr">
        <is>
          <t>Qty</t>
        </is>
      </c>
      <c r="G1" s="1" t="inlineStr">
        <is>
          <t>Datasheet</t>
        </is>
      </c>
      <c r="H1" s="1" t="inlineStr">
        <is>
          <t>Supplier</t>
        </is>
      </c>
      <c r="I1" s="1" t="inlineStr">
        <is>
          <t>Obtained</t>
        </is>
      </c>
    </row>
    <row r="2" ht="30" customHeight="1">
      <c r="A2" s="2" t="inlineStr">
        <is>
          <t>IC</t>
        </is>
      </c>
      <c r="B2" s="2" t="inlineStr">
        <is>
          <t>U_VFO</t>
        </is>
      </c>
      <c r="C2" s="2" t="inlineStr">
        <is>
          <t>Adafruit Si5351A breakout</t>
        </is>
      </c>
      <c r="D2" s="2" t="inlineStr">
        <is>
          <t>Programmable clock generator board (Adafruit #2045 / SparkFun BOB-13580). 25 MHz crystal, I²C addr 0x60. CLK0 drives the pi-pad input. Drive strength = 8 mA. Treat its CLK0 output as ill-defined ~50–85 Ω (CMOS, not a clean R) — the pad swamps it.</t>
        </is>
      </c>
      <c r="E2" s="3" t="inlineStr">
        <is>
          <t>VFO</t>
        </is>
      </c>
      <c r="F2" s="3" t="n">
        <v>1</v>
      </c>
      <c r="G2" s="2" t="inlineStr"/>
      <c r="H2" s="2" t="inlineStr">
        <is>
          <t>Adafruit / SparkFun</t>
        </is>
      </c>
      <c r="I2" s="3" t="inlineStr"/>
    </row>
    <row r="3" ht="30" customHeight="1">
      <c r="A3" s="4" t="inlineStr">
        <is>
          <t>Resistor</t>
        </is>
      </c>
      <c r="B3" s="4" t="inlineStr">
        <is>
          <t>RS</t>
        </is>
      </c>
      <c r="C3" s="4" t="inlineStr">
        <is>
          <t>50Ω</t>
        </is>
      </c>
      <c r="D3" s="4" t="inlineStr">
        <is>
          <t>Metal film 1%; Si5351 source termination — sits across CLK0 to GND so the pad sees a defined ~50 Ω regardless of chip impedance</t>
        </is>
      </c>
      <c r="E3" s="5" t="inlineStr">
        <is>
          <t>VFO</t>
        </is>
      </c>
      <c r="F3" s="5" t="n">
        <v>1</v>
      </c>
      <c r="G3" s="4" t="inlineStr"/>
      <c r="H3" s="4" t="inlineStr"/>
      <c r="I3" s="5" t="inlineStr"/>
    </row>
    <row r="4" ht="30" customHeight="1">
      <c r="A4" s="4" t="inlineStr">
        <is>
          <t>Resistor</t>
        </is>
      </c>
      <c r="B4" s="4" t="inlineStr">
        <is>
          <t>RP1, RP3</t>
        </is>
      </c>
      <c r="C4" s="4" t="inlineStr">
        <is>
          <t>62Ω</t>
        </is>
      </c>
      <c r="D4" s="4" t="inlineStr">
        <is>
          <t>Metal film 1%; 20 dB Pi-attenuator shunt arms (2 identical). E96 alt: 61.9 Ω</t>
        </is>
      </c>
      <c r="E4" s="5" t="inlineStr">
        <is>
          <t>VFO</t>
        </is>
      </c>
      <c r="F4" s="5" t="n">
        <v>2</v>
      </c>
      <c r="G4" s="4" t="inlineStr"/>
      <c r="H4" s="4" t="inlineStr"/>
      <c r="I4" s="5" t="inlineStr"/>
    </row>
    <row r="5" ht="30" customHeight="1">
      <c r="A5" s="4" t="inlineStr">
        <is>
          <t>Resistor</t>
        </is>
      </c>
      <c r="B5" s="4" t="inlineStr">
        <is>
          <t>RP2</t>
        </is>
      </c>
      <c r="C5" s="4" t="inlineStr">
        <is>
          <t>240Ω</t>
        </is>
      </c>
      <c r="D5" s="4" t="inlineStr">
        <is>
          <t>Metal film 1%; 20 dB Pi-attenuator series arm. E96 alt: 249 Ω</t>
        </is>
      </c>
      <c r="E5" s="5" t="inlineStr">
        <is>
          <t>VFO</t>
        </is>
      </c>
      <c r="F5" s="5" t="n">
        <v>1</v>
      </c>
      <c r="G5" s="4" t="inlineStr"/>
      <c r="H5" s="4" t="inlineStr"/>
      <c r="I5" s="5" t="inlineStr"/>
    </row>
    <row r="6" ht="30" customHeight="1">
      <c r="A6" s="6" t="inlineStr">
        <is>
          <t>Capacitor</t>
        </is>
      </c>
      <c r="B6" s="6" t="inlineStr">
        <is>
          <t>CF1, CF7</t>
        </is>
      </c>
      <c r="C6" s="6" t="inlineStr">
        <is>
          <t>220pF</t>
        </is>
      </c>
      <c r="D6" s="6" t="inlineStr">
        <is>
          <t>NP0/C0G or silver mica, 50 V, 5%; 7-pole 0.1 dB Chebyshev LPF end-shunt caps (2 identical)</t>
        </is>
      </c>
      <c r="E6" s="7" t="inlineStr">
        <is>
          <t>VFO</t>
        </is>
      </c>
      <c r="F6" s="7" t="n">
        <v>2</v>
      </c>
      <c r="G6" s="6" t="inlineStr"/>
      <c r="H6" s="6" t="inlineStr"/>
      <c r="I6" s="7" t="inlineStr"/>
    </row>
    <row r="7" ht="30" customHeight="1">
      <c r="A7" s="6" t="inlineStr">
        <is>
          <t>Capacitor</t>
        </is>
      </c>
      <c r="B7" s="6" t="inlineStr">
        <is>
          <t>CF3, CF5</t>
        </is>
      </c>
      <c r="C7" s="6" t="inlineStr">
        <is>
          <t>390pF</t>
        </is>
      </c>
      <c r="D7" s="6" t="inlineStr">
        <is>
          <t>NP0/C0G or silver mica, 50 V, 5%; 7-pole Chebyshev LPF inner-shunt caps (or 360 + 27 pF parallel)</t>
        </is>
      </c>
      <c r="E7" s="7" t="inlineStr">
        <is>
          <t>VFO</t>
        </is>
      </c>
      <c r="F7" s="7" t="n">
        <v>2</v>
      </c>
      <c r="G7" s="6" t="inlineStr"/>
      <c r="H7" s="6" t="inlineStr"/>
      <c r="I7" s="7" t="inlineStr"/>
    </row>
    <row r="8" ht="30" customHeight="1">
      <c r="A8" s="8" t="inlineStr">
        <is>
          <t>Inductor</t>
        </is>
      </c>
      <c r="B8" s="8" t="inlineStr">
        <is>
          <t>LF2, LF6</t>
        </is>
      </c>
      <c r="C8" s="8" t="inlineStr">
        <is>
          <t>647nH</t>
        </is>
      </c>
      <c r="D8" s="8" t="inlineStr">
        <is>
          <t>T-50-6 (Mix 6, yellow); 13T #22 AWG enamelled; 7-pole Chebyshev LPF outer series arms</t>
        </is>
      </c>
      <c r="E8" s="9" t="inlineStr">
        <is>
          <t>VFO</t>
        </is>
      </c>
      <c r="F8" s="9" t="n">
        <v>2</v>
      </c>
      <c r="G8" s="8" t="inlineStr"/>
      <c r="H8" s="8" t="inlineStr">
        <is>
          <t>Amidon / Kits&amp;Parts</t>
        </is>
      </c>
      <c r="I8" s="9" t="inlineStr"/>
    </row>
    <row r="9" ht="30" customHeight="1">
      <c r="A9" s="8" t="inlineStr">
        <is>
          <t>Inductor</t>
        </is>
      </c>
      <c r="B9" s="8" t="inlineStr">
        <is>
          <t>LF4</t>
        </is>
      </c>
      <c r="C9" s="8" t="inlineStr">
        <is>
          <t>715nH</t>
        </is>
      </c>
      <c r="D9" s="8" t="inlineStr">
        <is>
          <t>T-50-6 (Mix 6, yellow); 14T #22 AWG enamelled; 7-pole Chebyshev LPF centre series arm</t>
        </is>
      </c>
      <c r="E9" s="9" t="inlineStr">
        <is>
          <t>VFO</t>
        </is>
      </c>
      <c r="F9" s="9" t="n">
        <v>1</v>
      </c>
      <c r="G9" s="8" t="inlineStr"/>
      <c r="H9" s="8" t="inlineStr">
        <is>
          <t>Amidon / Kits&amp;Parts</t>
        </is>
      </c>
      <c r="I9" s="9" t="inlineStr"/>
    </row>
    <row r="10" ht="30" customHeight="1">
      <c r="A10" s="4" t="inlineStr">
        <is>
          <t>Resistor</t>
        </is>
      </c>
      <c r="B10" s="4" t="inlineStr">
        <is>
          <t>RT</t>
        </is>
      </c>
      <c r="C10" s="4" t="inlineStr">
        <is>
          <t>50Ω</t>
        </is>
      </c>
      <c r="D10" s="4" t="inlineStr">
        <is>
          <t>Metal film 1%; 7-pole LPF load termination — IS a discrete resistor (the J310 gate taps across it through CC1)</t>
        </is>
      </c>
      <c r="E10" s="5" t="inlineStr">
        <is>
          <t>VFO</t>
        </is>
      </c>
      <c r="F10" s="5" t="n">
        <v>1</v>
      </c>
      <c r="G10" s="4" t="inlineStr"/>
      <c r="H10" s="4" t="inlineStr"/>
      <c r="I10" s="5" t="inlineStr"/>
    </row>
    <row r="11" ht="30" customHeight="1">
      <c r="A11" s="4" t="inlineStr">
        <is>
          <t>Resistor</t>
        </is>
      </c>
      <c r="B11" s="4" t="inlineStr">
        <is>
          <t>RGL</t>
        </is>
      </c>
      <c r="C11" s="4" t="inlineStr">
        <is>
          <t>1MΩ</t>
        </is>
      </c>
      <c r="D11" s="4" t="inlineStr">
        <is>
          <t>J310 gate bias (across RT — electrically invisible at RF, sets DC operating point)</t>
        </is>
      </c>
      <c r="E11" s="5" t="inlineStr">
        <is>
          <t>VFO</t>
        </is>
      </c>
      <c r="F11" s="5" t="n">
        <v>1</v>
      </c>
      <c r="G11" s="4" t="inlineStr"/>
      <c r="H11" s="4" t="inlineStr"/>
      <c r="I11" s="5" t="inlineStr"/>
    </row>
    <row r="12" ht="30" customHeight="1">
      <c r="A12" s="4" t="inlineStr">
        <is>
          <t>Resistor</t>
        </is>
      </c>
      <c r="B12" s="4" t="inlineStr">
        <is>
          <t>RS1</t>
        </is>
      </c>
      <c r="C12" s="4" t="inlineStr">
        <is>
          <t>270Ω</t>
        </is>
      </c>
      <c r="D12" s="4" t="inlineStr">
        <is>
          <t>J310 source bias (sets quiescent current, output node feeds MC1496 carrier port)</t>
        </is>
      </c>
      <c r="E12" s="5" t="inlineStr">
        <is>
          <t>VFO</t>
        </is>
      </c>
      <c r="F12" s="5" t="n">
        <v>1</v>
      </c>
      <c r="G12" s="4" t="inlineStr"/>
      <c r="H12" s="4" t="inlineStr"/>
      <c r="I12" s="5" t="inlineStr"/>
    </row>
    <row r="13" ht="30" customHeight="1">
      <c r="A13" s="6" t="inlineStr">
        <is>
          <t>Capacitor</t>
        </is>
      </c>
      <c r="B13" s="6" t="inlineStr">
        <is>
          <t>CC1</t>
        </is>
      </c>
      <c r="C13" s="6" t="inlineStr">
        <is>
          <t>10nF</t>
        </is>
      </c>
      <c r="D13" s="6" t="inlineStr">
        <is>
          <t>NP0/C0G 50 V; J310 gate AC coupling from LPF output through RT</t>
        </is>
      </c>
      <c r="E13" s="7" t="inlineStr">
        <is>
          <t>VFO</t>
        </is>
      </c>
      <c r="F13" s="7" t="n">
        <v>1</v>
      </c>
      <c r="G13" s="6" t="inlineStr"/>
      <c r="H13" s="6" t="inlineStr"/>
      <c r="I13" s="7" t="inlineStr"/>
    </row>
    <row r="14" ht="30" customHeight="1">
      <c r="A14" s="10" t="inlineStr">
        <is>
          <t>Semiconductor</t>
        </is>
      </c>
      <c r="B14" s="10" t="inlineStr">
        <is>
          <t>T1</t>
        </is>
      </c>
      <c r="C14" s="10" t="inlineStr">
        <is>
          <t>J310</t>
        </is>
      </c>
      <c r="D14" s="10" t="inlineStr">
        <is>
          <t>N-ch JFET; source follower; TO-92 through-hole. Alt: 2N5485</t>
        </is>
      </c>
      <c r="E14" s="11" t="inlineStr">
        <is>
          <t>VFO</t>
        </is>
      </c>
      <c r="F14" s="11" t="n">
        <v>1</v>
      </c>
      <c r="G14" s="10" t="inlineStr">
        <is>
          <t>jfet-j308-j309-j310-interfet.pdf</t>
        </is>
      </c>
      <c r="H14" s="10" t="inlineStr"/>
      <c r="I14" s="11" t="inlineStr"/>
    </row>
    <row r="15" ht="30" customHeight="1">
      <c r="A15" s="12" t="inlineStr">
        <is>
          <t>Control</t>
        </is>
      </c>
      <c r="B15" s="12" t="inlineStr">
        <is>
          <t>ENC_FREQ</t>
        </is>
      </c>
      <c r="C15" s="12" t="inlineStr">
        <is>
          <t>MBL-600-100P-5L</t>
        </is>
      </c>
      <c r="D15" s="12" t="inlineStr">
        <is>
          <t>100 PPR optical rotary encoder; +5V Vcc; AM26LS31 differential line-driver output (A, Ā, B, B̄). Cannot drive ESP32-S3 GPIOs directly — feeds U_ENC_RX (see below). MBLKJ industrial encoder.</t>
        </is>
      </c>
      <c r="E15" s="13" t="inlineStr">
        <is>
          <t>VFO</t>
        </is>
      </c>
      <c r="F15" s="13" t="n">
        <v>1</v>
      </c>
      <c r="G15" s="12" t="inlineStr">
        <is>
          <t>rotary encoder datasheet.jpg</t>
        </is>
      </c>
      <c r="H15" s="12" t="inlineStr"/>
      <c r="I15" s="13" t="inlineStr"/>
    </row>
    <row r="16" ht="30" customHeight="1">
      <c r="A16" s="2" t="inlineStr">
        <is>
          <t>IC</t>
        </is>
      </c>
      <c r="B16" s="2" t="inlineStr">
        <is>
          <t>U_ENC_RX</t>
        </is>
      </c>
      <c r="C16" s="2" t="inlineStr">
        <is>
          <t>AM26LS32ACN</t>
        </is>
      </c>
      <c r="D16" s="2" t="inlineStr">
        <is>
          <t>Quad differential line receiver (DIP-16), RS-422; pairs with the encoder's AM26LS31 outputs. Uses 2 of 4 receivers (A/Ā and B/B̄ pairs) and presents 3.3 V CMOS to the MCU. Alternatives: DS26C32AN (pin-compatible). Single-ended fallback if only A/B are used: 74LVC2G17 dual buffer/level shifter (SOT-23-8) — loses differential noise rejection.</t>
        </is>
      </c>
      <c r="E16" s="3" t="inlineStr">
        <is>
          <t>VFO</t>
        </is>
      </c>
      <c r="F16" s="3" t="n">
        <v>1</v>
      </c>
      <c r="G16" s="2" t="inlineStr"/>
      <c r="H16" s="2" t="inlineStr"/>
      <c r="I16" s="3" t="inlineStr"/>
    </row>
    <row r="17" ht="30" customHeight="1">
      <c r="A17" s="2" t="inlineStr">
        <is>
          <t>IC</t>
        </is>
      </c>
      <c r="B17" s="2" t="inlineStr">
        <is>
          <t>U1</t>
        </is>
      </c>
      <c r="C17" s="2" t="inlineStr">
        <is>
          <t>MC1496 / LM1496</t>
        </is>
      </c>
      <c r="D17" s="2" t="inlineStr">
        <is>
          <t>Gilbert-cell balanced modulator used as a 4-quadrant analog multiplier; DIP-14; key-up null (zero control differential) eliminates RF leakage</t>
        </is>
      </c>
      <c r="E17" s="3" t="inlineStr">
        <is>
          <t>Buffer/Keyer</t>
        </is>
      </c>
      <c r="F17" s="3" t="n">
        <v>1</v>
      </c>
      <c r="G17" s="2" t="inlineStr">
        <is>
          <t>MC1496_VCA_Buffer_Schematic.pdf</t>
        </is>
      </c>
      <c r="H17" s="2" t="inlineStr"/>
      <c r="I17" s="3" t="inlineStr"/>
    </row>
    <row r="18" ht="30" customHeight="1">
      <c r="A18" s="2" t="inlineStr">
        <is>
          <t>IC</t>
        </is>
      </c>
      <c r="B18" s="2" t="inlineStr">
        <is>
          <t>A1</t>
        </is>
      </c>
      <c r="C18" s="2" t="inlineStr">
        <is>
          <t>TL071</t>
        </is>
      </c>
      <c r="D18" s="2" t="inlineStr">
        <is>
          <t>AGC error amp / integrator; DIP-8. TL072 dual is pin-compatible if substituting</t>
        </is>
      </c>
      <c r="E18" s="3" t="inlineStr">
        <is>
          <t>Buffer/Keyer</t>
        </is>
      </c>
      <c r="F18" s="3" t="n">
        <v>1</v>
      </c>
      <c r="G18" s="2" t="inlineStr">
        <is>
          <t>tl071.pdf</t>
        </is>
      </c>
      <c r="H18" s="2" t="inlineStr"/>
      <c r="I18" s="3" t="inlineStr"/>
    </row>
    <row r="19" ht="30" customHeight="1">
      <c r="A19" s="2" t="inlineStr">
        <is>
          <t>IC</t>
        </is>
      </c>
      <c r="B19" s="2" t="inlineStr">
        <is>
          <t>DAC</t>
        </is>
      </c>
      <c r="C19" s="2" t="inlineStr">
        <is>
          <t>MCP4921</t>
        </is>
      </c>
      <c r="D19" s="2" t="inlineStr">
        <is>
          <t>12-bit SPI DAC; envelope control to MC1496 pin 1 via 1.5 kΩ + 680 nF reconstruction LPF; driven by ESP32-S3 over dedicated SPI bus (NOT shared with monitoring I²C)</t>
        </is>
      </c>
      <c r="E19" s="3" t="inlineStr">
        <is>
          <t>Buffer/Keyer</t>
        </is>
      </c>
      <c r="F19" s="3" t="n">
        <v>1</v>
      </c>
      <c r="G19" s="2" t="inlineStr">
        <is>
          <t>MC4921.pdf</t>
        </is>
      </c>
      <c r="H19" s="2" t="inlineStr"/>
      <c r="I19" s="3" t="inlineStr"/>
    </row>
    <row r="20" ht="30" customHeight="1">
      <c r="A20" s="14" t="inlineStr">
        <is>
          <t>Transformer</t>
        </is>
      </c>
      <c r="B20" s="14" t="inlineStr">
        <is>
          <t>T1</t>
        </is>
      </c>
      <c r="C20" s="14" t="inlineStr">
        <is>
          <t>FT37-43</t>
        </is>
      </c>
      <c r="D20" s="14" t="inlineStr">
        <is>
          <t>Broadband push-pull interstage; 10+10T primary bifilar, 10+10T secondary bifilar; #28AWG enamelled; Fair-Rite Mix 43 ferrite</t>
        </is>
      </c>
      <c r="E20" s="15" t="inlineStr">
        <is>
          <t>Buffer/Keyer</t>
        </is>
      </c>
      <c r="F20" s="15" t="n">
        <v>1</v>
      </c>
      <c r="G20" s="14" t="inlineStr"/>
      <c r="H20" s="14" t="inlineStr"/>
      <c r="I20" s="15" t="inlineStr"/>
    </row>
    <row r="21" ht="30" customHeight="1">
      <c r="A21" s="8" t="inlineStr">
        <is>
          <t>Inductor</t>
        </is>
      </c>
      <c r="B21" s="8" t="inlineStr">
        <is>
          <t>L_RFC</t>
        </is>
      </c>
      <c r="C21" s="8" t="inlineStr">
        <is>
          <t>100µH</t>
        </is>
      </c>
      <c r="D21" s="8" t="inlineStr">
        <is>
          <t>Molded RFC; +12V to T1 primary CT; push-pull RF currents cancel at CT — only DC flows, so standard SRF is OK. Alt: 15T on FT37-43 (~94 µH)</t>
        </is>
      </c>
      <c r="E21" s="9" t="inlineStr">
        <is>
          <t>Buffer/Keyer</t>
        </is>
      </c>
      <c r="F21" s="9" t="n">
        <v>1</v>
      </c>
      <c r="G21" s="8" t="inlineStr"/>
      <c r="H21" s="8" t="inlineStr"/>
      <c r="I21" s="9" t="inlineStr"/>
    </row>
    <row r="22" ht="30" customHeight="1">
      <c r="A22" s="10" t="inlineStr">
        <is>
          <t>Semiconductor</t>
        </is>
      </c>
      <c r="B22" s="10" t="inlineStr">
        <is>
          <t>D1</t>
        </is>
      </c>
      <c r="C22" s="10" t="inlineStr">
        <is>
          <t>1N5711</t>
        </is>
      </c>
      <c r="D22" s="10" t="inlineStr">
        <is>
          <t>Schottky; RF peak detector — samples one grid through C_DET_IN for AGC error signal</t>
        </is>
      </c>
      <c r="E22" s="11" t="inlineStr">
        <is>
          <t>Buffer/Keyer</t>
        </is>
      </c>
      <c r="F22" s="11" t="n">
        <v>1</v>
      </c>
      <c r="G22" s="10" t="inlineStr"/>
      <c r="H22" s="10" t="inlineStr"/>
      <c r="I22" s="11" t="inlineStr"/>
    </row>
    <row r="23" ht="30" customHeight="1">
      <c r="A23" s="10" t="inlineStr">
        <is>
          <t>Semiconductor</t>
        </is>
      </c>
      <c r="B23" s="10" t="inlineStr">
        <is>
          <t>DZ1</t>
        </is>
      </c>
      <c r="C23" s="10" t="inlineStr">
        <is>
          <t>1N4738A</t>
        </is>
      </c>
      <c r="D23" s="10" t="inlineStr">
        <is>
          <t>8.2V zener (1 W); generates −8.2 V rail for MC1496 V− (pin 7) and TL071 V− from the grid-bias rail (−60 to −80 V); ≈4 mA through DZ1 at nominal bias</t>
        </is>
      </c>
      <c r="E23" s="11" t="inlineStr">
        <is>
          <t>Buffer/Keyer</t>
        </is>
      </c>
      <c r="F23" s="11" t="n">
        <v>1</v>
      </c>
      <c r="G23" s="10" t="inlineStr"/>
      <c r="H23" s="10" t="inlineStr"/>
      <c r="I23" s="11" t="inlineStr"/>
    </row>
    <row r="24" ht="30" customHeight="1">
      <c r="A24" s="4" t="inlineStr">
        <is>
          <t>Resistor</t>
        </is>
      </c>
      <c r="B24" s="4" t="inlineStr">
        <is>
          <t>R_DROP</t>
        </is>
      </c>
      <c r="C24" s="4" t="inlineStr">
        <is>
          <t>15kΩ 1W</t>
        </is>
      </c>
      <c r="D24" s="4" t="inlineStr">
        <is>
          <t>Dropping resistor from grid-bias rail (−60 to −80V) to DZ1 zener; ≤300 mW at −80 V</t>
        </is>
      </c>
      <c r="E24" s="5" t="inlineStr">
        <is>
          <t>Buffer/Keyer</t>
        </is>
      </c>
      <c r="F24" s="5" t="n">
        <v>1</v>
      </c>
      <c r="G24" s="4" t="inlineStr"/>
      <c r="H24" s="4" t="inlineStr"/>
      <c r="I24" s="5" t="inlineStr"/>
    </row>
    <row r="25" ht="30" customHeight="1">
      <c r="A25" s="4" t="inlineStr">
        <is>
          <t>Resistor</t>
        </is>
      </c>
      <c r="B25" s="4" t="inlineStr">
        <is>
          <t>R_GL</t>
        </is>
      </c>
      <c r="C25" s="4" t="inlineStr">
        <is>
          <t>22kΩ</t>
        </is>
      </c>
      <c r="D25" s="4" t="inlineStr">
        <is>
          <t>T1 secondary CT grid-leak to GND (or return to a fixed −bias rail for class-C drive)</t>
        </is>
      </c>
      <c r="E25" s="5" t="inlineStr">
        <is>
          <t>Buffer/Keyer</t>
        </is>
      </c>
      <c r="F25" s="5" t="n">
        <v>1</v>
      </c>
      <c r="G25" s="4" t="inlineStr"/>
      <c r="H25" s="4" t="inlineStr"/>
      <c r="I25" s="5" t="inlineStr"/>
    </row>
    <row r="26" ht="30" customHeight="1">
      <c r="A26" s="4" t="inlineStr">
        <is>
          <t>Resistor</t>
        </is>
      </c>
      <c r="B26" s="4" t="inlineStr">
        <is>
          <t>RGS_A, RGS_B</t>
        </is>
      </c>
      <c r="C26" s="4" t="inlineStr">
        <is>
          <t>100Ω</t>
        </is>
      </c>
      <c r="D26" s="4" t="inlineStr">
        <is>
          <t>Grid-stopper resistors — one in series with each 12HG7 driver-tube grid</t>
        </is>
      </c>
      <c r="E26" s="5" t="inlineStr">
        <is>
          <t>Buffer/Keyer</t>
        </is>
      </c>
      <c r="F26" s="5" t="n">
        <v>2</v>
      </c>
      <c r="G26" s="4" t="inlineStr"/>
      <c r="H26" s="4" t="inlineStr"/>
      <c r="I26" s="5" t="inlineStr"/>
    </row>
    <row r="27" ht="30" customHeight="1">
      <c r="A27" s="4" t="inlineStr">
        <is>
          <t>Resistor</t>
        </is>
      </c>
      <c r="B27" s="4" t="inlineStr">
        <is>
          <t>R_SCALE1</t>
        </is>
      </c>
      <c r="C27" s="4" t="inlineStr">
        <is>
          <t>100kΩ</t>
        </is>
      </c>
      <c r="D27" s="4" t="inlineStr">
        <is>
          <t>AGC divider upper leg: TL071 output → MC1496 signal port (pin 4)</t>
        </is>
      </c>
      <c r="E27" s="5" t="inlineStr">
        <is>
          <t>Buffer/Keyer</t>
        </is>
      </c>
      <c r="F27" s="5" t="n">
        <v>1</v>
      </c>
      <c r="G27" s="4" t="inlineStr"/>
      <c r="H27" s="4" t="inlineStr"/>
      <c r="I27" s="5" t="inlineStr"/>
    </row>
    <row r="28" ht="30" customHeight="1">
      <c r="A28" s="4" t="inlineStr">
        <is>
          <t>Resistor</t>
        </is>
      </c>
      <c r="B28" s="4" t="inlineStr">
        <is>
          <t>R_SCALE2</t>
        </is>
      </c>
      <c r="C28" s="4" t="inlineStr">
        <is>
          <t>5.1kΩ</t>
        </is>
      </c>
      <c r="D28" s="4" t="inlineStr">
        <is>
          <t>AGC divider lower leg (4.85% ratio); keeps MC1496 control differential ≤ ±100 mV in the linear range</t>
        </is>
      </c>
      <c r="E28" s="5" t="inlineStr">
        <is>
          <t>Buffer/Keyer</t>
        </is>
      </c>
      <c r="F28" s="5" t="n">
        <v>1</v>
      </c>
      <c r="G28" s="4" t="inlineStr"/>
      <c r="H28" s="4" t="inlineStr"/>
      <c r="I28" s="5" t="inlineStr"/>
    </row>
    <row r="29" ht="30" customHeight="1">
      <c r="A29" s="4" t="inlineStr">
        <is>
          <t>Resistor</t>
        </is>
      </c>
      <c r="B29" s="4" t="inlineStr">
        <is>
          <t>R_SIG_P</t>
        </is>
      </c>
      <c r="C29" s="4" t="inlineStr">
        <is>
          <t>10kΩ</t>
        </is>
      </c>
      <c r="D29" s="4" t="inlineStr">
        <is>
          <t>MC1496 signal-port pin 1 reference to GND (sits at 0 V differential against the AGC node)</t>
        </is>
      </c>
      <c r="E29" s="5" t="inlineStr">
        <is>
          <t>Buffer/Keyer</t>
        </is>
      </c>
      <c r="F29" s="5" t="n">
        <v>1</v>
      </c>
      <c r="G29" s="4" t="inlineStr"/>
      <c r="H29" s="4" t="inlineStr"/>
      <c r="I29" s="5" t="inlineStr"/>
    </row>
    <row r="30" ht="30" customHeight="1">
      <c r="A30" s="4" t="inlineStr">
        <is>
          <t>Resistor</t>
        </is>
      </c>
      <c r="B30" s="4" t="inlineStr">
        <is>
          <t>R_INJ1, R_INJ2</t>
        </is>
      </c>
      <c r="C30" s="4" t="inlineStr">
        <is>
          <t>8.2kΩ</t>
        </is>
      </c>
      <c r="D30" s="4" t="inlineStr">
        <is>
          <t>Digital carrier-null injection (NEW in 2026-06-08 redesign): PNP collectors → MC1496 pins 1 and 4. Replaces the old 330 kΩ resistors — value chosen to balance the null PNP collector load to VEE</t>
        </is>
      </c>
      <c r="E30" s="5" t="inlineStr">
        <is>
          <t>Buffer/Keyer</t>
        </is>
      </c>
      <c r="F30" s="5" t="n">
        <v>2</v>
      </c>
      <c r="G30" s="4" t="inlineStr"/>
      <c r="H30" s="4" t="inlineStr"/>
      <c r="I30" s="5" t="inlineStr"/>
    </row>
    <row r="31" ht="30" customHeight="1">
      <c r="A31" s="4" t="inlineStr">
        <is>
          <t>Resistor</t>
        </is>
      </c>
      <c r="B31" s="4" t="inlineStr">
        <is>
          <t>R_BIAS</t>
        </is>
      </c>
      <c r="C31" s="4" t="inlineStr">
        <is>
          <t>6.8kΩ</t>
        </is>
      </c>
      <c r="D31" s="4" t="inlineStr">
        <is>
          <t>MC1496 bias pin 5 to GND; sets Iee ≈ 1 mA per AN531 (internal 500 Ω + this 6.8 kΩ)</t>
        </is>
      </c>
      <c r="E31" s="5" t="inlineStr">
        <is>
          <t>Buffer/Keyer</t>
        </is>
      </c>
      <c r="F31" s="5" t="n">
        <v>1</v>
      </c>
      <c r="G31" s="4" t="inlineStr"/>
      <c r="H31" s="4" t="inlineStr"/>
      <c r="I31" s="5" t="inlineStr"/>
    </row>
    <row r="32" ht="30" customHeight="1">
      <c r="A32" s="4" t="inlineStr">
        <is>
          <t>Resistor</t>
        </is>
      </c>
      <c r="B32" s="4" t="inlineStr">
        <is>
          <t>R_RE</t>
        </is>
      </c>
      <c r="C32" s="4" t="inlineStr">
        <is>
          <t>200Ω</t>
        </is>
      </c>
      <c r="D32" s="4" t="inlineStr">
        <is>
          <t>MC1496 emitter degeneration between pins 2 and 3 (NOT to VEE). Reduced from 1 kΩ to 200 Ω in the 2026-06-08 redesign so modulator gain compensates for the lower carrier amplitude (the upstream 20 dB pad). Sets Av = RL/RE = 3.9 k / 200 ≈ 19.5</t>
        </is>
      </c>
      <c r="E32" s="5" t="inlineStr">
        <is>
          <t>Buffer/Keyer</t>
        </is>
      </c>
      <c r="F32" s="5" t="n">
        <v>1</v>
      </c>
      <c r="G32" s="4" t="inlineStr"/>
      <c r="H32" s="4" t="inlineStr"/>
      <c r="I32" s="5" t="inlineStr"/>
    </row>
    <row r="33" ht="30" customHeight="1">
      <c r="A33" s="4" t="inlineStr">
        <is>
          <t>Resistor</t>
        </is>
      </c>
      <c r="B33" s="4" t="inlineStr">
        <is>
          <t>R_PIN8_TOP, R_PIN8_BOT</t>
        </is>
      </c>
      <c r="C33" s="4" t="inlineStr">
        <is>
          <t>22kΩ</t>
        </is>
      </c>
      <c r="D33" s="4" t="inlineStr">
        <is>
          <t>Carrier-port pin 8 bias divider, +12 V → pin 8 → GND. Raised from 1 kΩ to 22 kΩ in the 2026-06-08 redesign so the standing current through the divider dropped from ~6 mA to ~0.3 mA (no functional change to pin 8 voltage)</t>
        </is>
      </c>
      <c r="E33" s="5" t="inlineStr">
        <is>
          <t>Buffer/Keyer</t>
        </is>
      </c>
      <c r="F33" s="5" t="n">
        <v>2</v>
      </c>
      <c r="G33" s="4" t="inlineStr"/>
      <c r="H33" s="4" t="inlineStr"/>
      <c r="I33" s="5" t="inlineStr"/>
    </row>
    <row r="34" ht="30" customHeight="1">
      <c r="A34" s="4" t="inlineStr">
        <is>
          <t>Resistor</t>
        </is>
      </c>
      <c r="B34" s="4" t="inlineStr">
        <is>
          <t>R_INT</t>
        </is>
      </c>
      <c r="C34" s="4" t="inlineStr">
        <is>
          <t>100kΩ</t>
        </is>
      </c>
      <c r="D34" s="4" t="inlineStr">
        <is>
          <t>TL071 inverting-input resistor (V_DET → A1 −)</t>
        </is>
      </c>
      <c r="E34" s="5" t="inlineStr">
        <is>
          <t>Buffer/Keyer</t>
        </is>
      </c>
      <c r="F34" s="5" t="n">
        <v>1</v>
      </c>
      <c r="G34" s="4" t="inlineStr"/>
      <c r="H34" s="4" t="inlineStr"/>
      <c r="I34" s="5" t="inlineStr"/>
    </row>
    <row r="35" ht="30" customHeight="1">
      <c r="A35" s="4" t="inlineStr">
        <is>
          <t>Resistor</t>
        </is>
      </c>
      <c r="B35" s="4" t="inlineStr">
        <is>
          <t>R_FB</t>
        </is>
      </c>
      <c r="C35" s="4" t="inlineStr">
        <is>
          <t>470kΩ</t>
        </is>
      </c>
      <c r="D35" s="4" t="inlineStr">
        <is>
          <t>TL071 anti-windup / DC-gain feedback</t>
        </is>
      </c>
      <c r="E35" s="5" t="inlineStr">
        <is>
          <t>Buffer/Keyer</t>
        </is>
      </c>
      <c r="F35" s="5" t="n">
        <v>1</v>
      </c>
      <c r="G35" s="4" t="inlineStr"/>
      <c r="H35" s="4" t="inlineStr"/>
      <c r="I35" s="5" t="inlineStr"/>
    </row>
    <row r="36" ht="30" customHeight="1">
      <c r="A36" s="4" t="inlineStr">
        <is>
          <t>Resistor</t>
        </is>
      </c>
      <c r="B36" s="4" t="inlineStr">
        <is>
          <t>R_DET</t>
        </is>
      </c>
      <c r="C36" s="4" t="inlineStr">
        <is>
          <t>330kΩ</t>
        </is>
      </c>
      <c r="D36" s="4" t="inlineStr">
        <is>
          <t>Detector-diode trickle bias from +12 V; keeps the 1N5711 linear at low signal levels</t>
        </is>
      </c>
      <c r="E36" s="5" t="inlineStr">
        <is>
          <t>Buffer/Keyer</t>
        </is>
      </c>
      <c r="F36" s="5" t="n">
        <v>1</v>
      </c>
      <c r="G36" s="4" t="inlineStr"/>
      <c r="H36" s="4" t="inlineStr"/>
      <c r="I36" s="5" t="inlineStr"/>
    </row>
    <row r="37" ht="30" customHeight="1">
      <c r="A37" s="4" t="inlineStr">
        <is>
          <t>Resistor</t>
        </is>
      </c>
      <c r="B37" s="4" t="inlineStr">
        <is>
          <t>R_ENV_LPF</t>
        </is>
      </c>
      <c r="C37" s="4" t="inlineStr">
        <is>
          <t>1.5kΩ</t>
        </is>
      </c>
      <c r="D37" s="4" t="inlineStr">
        <is>
          <t>Envelope DAC reconstruction LPF series resistor (MCP4921 OUT → MC1496 pin 1). With R4 = 51 Ω to GND on pin 1 sets the DC divider (108 mV peak at full DAC code) and forms a ~4.75 kHz LPF with C_ENV_LPF. Bring-up note: see cw_envelope_keyer.md §"Hardware notes"</t>
        </is>
      </c>
      <c r="E37" s="5" t="inlineStr">
        <is>
          <t>Buffer/Keyer</t>
        </is>
      </c>
      <c r="F37" s="5" t="n">
        <v>1</v>
      </c>
      <c r="G37" s="4" t="inlineStr"/>
      <c r="H37" s="4" t="inlineStr"/>
      <c r="I37" s="5" t="inlineStr"/>
    </row>
    <row r="38" ht="30" customHeight="1">
      <c r="A38" s="6" t="inlineStr">
        <is>
          <t>Capacitor</t>
        </is>
      </c>
      <c r="B38" s="6" t="inlineStr">
        <is>
          <t>C_ENV_LPF</t>
        </is>
      </c>
      <c r="C38" s="6" t="inlineStr">
        <is>
          <t>680nF</t>
        </is>
      </c>
      <c r="D38" s="6" t="inlineStr">
        <is>
          <t>Envelope LPF shunt cap (film MKT/MKP, 50 V). Forms the single-pole reconstruction filter with R_ENV_LPF and grounds pin 1 at 14 MHz (|Z| ≈ 0.017 Ω) — carrier isolation</t>
        </is>
      </c>
      <c r="E38" s="7" t="inlineStr">
        <is>
          <t>Buffer/Keyer</t>
        </is>
      </c>
      <c r="F38" s="7" t="n">
        <v>1</v>
      </c>
      <c r="G38" s="6" t="inlineStr"/>
      <c r="H38" s="6" t="inlineStr"/>
      <c r="I38" s="7" t="inlineStr"/>
    </row>
    <row r="39" ht="30" customHeight="1">
      <c r="A39" s="6" t="inlineStr">
        <is>
          <t>Capacitor</t>
        </is>
      </c>
      <c r="B39" s="6" t="inlineStr">
        <is>
          <t>C1</t>
        </is>
      </c>
      <c r="C39" s="6" t="inlineStr">
        <is>
          <t>330pF</t>
        </is>
      </c>
      <c r="D39" s="6" t="inlineStr">
        <is>
          <t>NP0/C0G 100 V; carrier coupling from Q1S follower output to MC1496 pin 10. Not used as an attenuator any more (upstream 20 dB pad does that); value unchanged from earlier rev</t>
        </is>
      </c>
      <c r="E39" s="7" t="inlineStr">
        <is>
          <t>Buffer/Keyer</t>
        </is>
      </c>
      <c r="F39" s="7" t="n">
        <v>1</v>
      </c>
      <c r="G39" s="6" t="inlineStr"/>
      <c r="H39" s="6" t="inlineStr"/>
      <c r="I39" s="7" t="inlineStr"/>
    </row>
    <row r="40" ht="30" customHeight="1">
      <c r="A40" s="10" t="inlineStr">
        <is>
          <t>Semiconductor</t>
        </is>
      </c>
      <c r="B40" s="10" t="inlineStr">
        <is>
          <t>QT1, QT2</t>
        </is>
      </c>
      <c r="C40" s="10" t="inlineStr">
        <is>
          <t>2N3906</t>
        </is>
      </c>
      <c r="D40" s="10" t="inlineStr">
        <is>
          <t>PNP small-signal switches (TO-92) driving the digital carrier-null injection into pins 1 and 4. Alt: BC557. One per side</t>
        </is>
      </c>
      <c r="E40" s="11" t="inlineStr">
        <is>
          <t>Buffer/Keyer</t>
        </is>
      </c>
      <c r="F40" s="11" t="n">
        <v>2</v>
      </c>
      <c r="G40" s="10" t="inlineStr"/>
      <c r="H40" s="10" t="inlineStr"/>
      <c r="I40" s="11" t="inlineStr"/>
    </row>
    <row r="41" ht="30" customHeight="1">
      <c r="A41" s="4" t="inlineStr">
        <is>
          <t>Resistor</t>
        </is>
      </c>
      <c r="B41" s="4" t="inlineStr">
        <is>
          <t>R_PNP_C1, R_PNP_C2</t>
        </is>
      </c>
      <c r="C41" s="4" t="inlineStr">
        <is>
          <t>8.2kΩ</t>
        </is>
      </c>
      <c r="D41" s="4" t="inlineStr">
        <is>
          <t>PNP collector load to VEE (−8.2 V); pulls the injection node low when the PNP is off</t>
        </is>
      </c>
      <c r="E41" s="5" t="inlineStr">
        <is>
          <t>Buffer/Keyer</t>
        </is>
      </c>
      <c r="F41" s="5" t="n">
        <v>2</v>
      </c>
      <c r="G41" s="4" t="inlineStr"/>
      <c r="H41" s="4" t="inlineStr"/>
      <c r="I41" s="5" t="inlineStr"/>
    </row>
    <row r="42" ht="30" customHeight="1">
      <c r="A42" s="4" t="inlineStr">
        <is>
          <t>Resistor</t>
        </is>
      </c>
      <c r="B42" s="4" t="inlineStr">
        <is>
          <t>R_PNP_E1, R_PNP_E2</t>
        </is>
      </c>
      <c r="C42" s="4" t="inlineStr">
        <is>
          <t>2.7kΩ</t>
        </is>
      </c>
      <c r="D42" s="4" t="inlineStr">
        <is>
          <t>PNP emitter to +5 V; sets PNP collector current during null injection</t>
        </is>
      </c>
      <c r="E42" s="5" t="inlineStr">
        <is>
          <t>Buffer/Keyer</t>
        </is>
      </c>
      <c r="F42" s="5" t="n">
        <v>2</v>
      </c>
      <c r="G42" s="4" t="inlineStr"/>
      <c r="H42" s="4" t="inlineStr"/>
      <c r="I42" s="5" t="inlineStr"/>
    </row>
    <row r="43" ht="30" customHeight="1">
      <c r="A43" s="6" t="inlineStr">
        <is>
          <t>Capacitor</t>
        </is>
      </c>
      <c r="B43" s="6" t="inlineStr">
        <is>
          <t>C_INT</t>
        </is>
      </c>
      <c r="C43" s="6" t="inlineStr">
        <is>
          <t>1µF film</t>
        </is>
      </c>
      <c r="D43" s="6" t="inlineStr">
        <is>
          <t>TL071 integrator cap; film type for low leakage / drift</t>
        </is>
      </c>
      <c r="E43" s="7" t="inlineStr">
        <is>
          <t>Buffer/Keyer</t>
        </is>
      </c>
      <c r="F43" s="7" t="n">
        <v>1</v>
      </c>
      <c r="G43" s="6" t="inlineStr"/>
      <c r="H43" s="6" t="inlineStr"/>
      <c r="I43" s="7" t="inlineStr"/>
    </row>
    <row r="44" ht="30" customHeight="1">
      <c r="A44" s="6" t="inlineStr">
        <is>
          <t>Capacitor</t>
        </is>
      </c>
      <c r="B44" s="6" t="inlineStr">
        <is>
          <t>C_DET</t>
        </is>
      </c>
      <c r="C44" s="6" t="inlineStr">
        <is>
          <t>10nF film</t>
        </is>
      </c>
      <c r="D44" s="6" t="inlineStr">
        <is>
          <t>Detector smoothing cap (across the 1N5711 + R_DET node)</t>
        </is>
      </c>
      <c r="E44" s="7" t="inlineStr">
        <is>
          <t>Buffer/Keyer</t>
        </is>
      </c>
      <c r="F44" s="7" t="n">
        <v>1</v>
      </c>
      <c r="G44" s="6" t="inlineStr"/>
      <c r="H44" s="6" t="inlineStr"/>
      <c r="I44" s="7" t="inlineStr"/>
    </row>
    <row r="45" ht="30" customHeight="1">
      <c r="A45" s="6" t="inlineStr">
        <is>
          <t>Capacitor</t>
        </is>
      </c>
      <c r="B45" s="6" t="inlineStr">
        <is>
          <t>C_DET_IN</t>
        </is>
      </c>
      <c r="C45" s="6" t="inlineStr">
        <is>
          <t>1000pF NP0</t>
        </is>
      </c>
      <c r="D45" s="6" t="inlineStr">
        <is>
          <t>Detector coupling from grid sample to 1N5711</t>
        </is>
      </c>
      <c r="E45" s="7" t="inlineStr">
        <is>
          <t>Buffer/Keyer</t>
        </is>
      </c>
      <c r="F45" s="7" t="n">
        <v>1</v>
      </c>
      <c r="G45" s="6" t="inlineStr"/>
      <c r="H45" s="6" t="inlineStr"/>
      <c r="I45" s="7" t="inlineStr"/>
    </row>
    <row r="46" ht="30" customHeight="1">
      <c r="A46" s="6" t="inlineStr">
        <is>
          <t>Capacitor</t>
        </is>
      </c>
      <c r="B46" s="6" t="inlineStr">
        <is>
          <t>C_GL</t>
        </is>
      </c>
      <c r="C46" s="6" t="inlineStr">
        <is>
          <t>10nF NP0</t>
        </is>
      </c>
      <c r="D46" s="6" t="inlineStr">
        <is>
          <t>RF bypass across T1 secondary-CT grid-leak resistor R_GL</t>
        </is>
      </c>
      <c r="E46" s="7" t="inlineStr">
        <is>
          <t>Buffer/Keyer</t>
        </is>
      </c>
      <c r="F46" s="7" t="n">
        <v>1</v>
      </c>
      <c r="G46" s="6" t="inlineStr"/>
      <c r="H46" s="6" t="inlineStr"/>
      <c r="I46" s="7" t="inlineStr"/>
    </row>
    <row r="47" ht="30" customHeight="1">
      <c r="A47" s="6" t="inlineStr">
        <is>
          <t>Capacitor</t>
        </is>
      </c>
      <c r="B47" s="6" t="inlineStr">
        <is>
          <t>C_Z1</t>
        </is>
      </c>
      <c r="C47" s="6" t="inlineStr">
        <is>
          <t>10µF electrolytic</t>
        </is>
      </c>
      <c r="D47" s="6" t="inlineStr">
        <is>
          <t>−8.2 V rail bulk bypass</t>
        </is>
      </c>
      <c r="E47" s="7" t="inlineStr">
        <is>
          <t>Buffer/Keyer</t>
        </is>
      </c>
      <c r="F47" s="7" t="n">
        <v>1</v>
      </c>
      <c r="G47" s="6" t="inlineStr"/>
      <c r="H47" s="6" t="inlineStr"/>
      <c r="I47" s="7" t="inlineStr"/>
    </row>
    <row r="48" ht="30" customHeight="1">
      <c r="A48" s="6" t="inlineStr">
        <is>
          <t>Capacitor</t>
        </is>
      </c>
      <c r="B48" s="6" t="inlineStr">
        <is>
          <t>C_Z2</t>
        </is>
      </c>
      <c r="C48" s="6" t="inlineStr">
        <is>
          <t>100nF ceramic</t>
        </is>
      </c>
      <c r="D48" s="6" t="inlineStr">
        <is>
          <t>−8.2 V rail HF bypass</t>
        </is>
      </c>
      <c r="E48" s="7" t="inlineStr">
        <is>
          <t>Buffer/Keyer</t>
        </is>
      </c>
      <c r="F48" s="7" t="n">
        <v>1</v>
      </c>
      <c r="G48" s="6" t="inlineStr"/>
      <c r="H48" s="6" t="inlineStr"/>
      <c r="I48" s="7" t="inlineStr"/>
    </row>
    <row r="49" ht="30" customHeight="1">
      <c r="A49" s="6" t="inlineStr">
        <is>
          <t>Capacitor</t>
        </is>
      </c>
      <c r="B49" s="6" t="inlineStr">
        <is>
          <t>C_MC_CARR</t>
        </is>
      </c>
      <c r="C49" s="6" t="inlineStr">
        <is>
          <t>100nF ceramic</t>
        </is>
      </c>
      <c r="D49" s="6" t="inlineStr">
        <is>
          <t>MC1496 carrier port − bypass (pin 8 to GND); keep lead short, close to the IC</t>
        </is>
      </c>
      <c r="E49" s="7" t="inlineStr">
        <is>
          <t>Buffer/Keyer</t>
        </is>
      </c>
      <c r="F49" s="7" t="n">
        <v>1</v>
      </c>
      <c r="G49" s="6" t="inlineStr"/>
      <c r="H49" s="6" t="inlineStr"/>
      <c r="I49" s="7" t="inlineStr"/>
    </row>
    <row r="50" ht="30" customHeight="1">
      <c r="A50" s="6" t="inlineStr">
        <is>
          <t>Capacitor</t>
        </is>
      </c>
      <c r="B50" s="6" t="inlineStr">
        <is>
          <t>C_MC_VEE</t>
        </is>
      </c>
      <c r="C50" s="6" t="inlineStr">
        <is>
          <t>100nF ceramic</t>
        </is>
      </c>
      <c r="D50" s="6" t="inlineStr">
        <is>
          <t>MC1496 VEE bypass (pin 7 to GND)</t>
        </is>
      </c>
      <c r="E50" s="7" t="inlineStr">
        <is>
          <t>Buffer/Keyer</t>
        </is>
      </c>
      <c r="F50" s="7" t="n">
        <v>1</v>
      </c>
      <c r="G50" s="6" t="inlineStr"/>
      <c r="H50" s="6" t="inlineStr"/>
      <c r="I50" s="7" t="inlineStr"/>
    </row>
    <row r="51" ht="30" customHeight="1">
      <c r="A51" s="2" t="inlineStr">
        <is>
          <t>IC</t>
        </is>
      </c>
      <c r="B51" s="2" t="inlineStr">
        <is>
          <t>U2, U3</t>
        </is>
      </c>
      <c r="C51" s="2" t="inlineStr">
        <is>
          <t>LM7171AIN</t>
        </is>
      </c>
      <c r="D51" s="2" t="inlineStr">
        <is>
          <t>High-speed voltage-feedback op-amp (200 MHz GBW); DIP-8 or SOIC-8. One per differential side. TL072 (3 MHz) is too slow — must use LM7171 or faster (AD8055, LMH6610, AD8009 all work as drop-ins for higher-gain variants)</t>
        </is>
      </c>
      <c r="E51" s="3" t="inlineStr">
        <is>
          <t>Post-Amp</t>
        </is>
      </c>
      <c r="F51" s="3" t="n">
        <v>2</v>
      </c>
      <c r="G51" s="2" t="inlineStr"/>
      <c r="H51" s="2" t="inlineStr"/>
      <c r="I51" s="3" t="inlineStr"/>
    </row>
    <row r="52" ht="30" customHeight="1">
      <c r="A52" s="4" t="inlineStr">
        <is>
          <t>Resistor</t>
        </is>
      </c>
      <c r="B52" s="4" t="inlineStr">
        <is>
          <t>R_F_2, R_F_3</t>
        </is>
      </c>
      <c r="C52" s="4" t="inlineStr">
        <is>
          <t>47kΩ</t>
        </is>
      </c>
      <c r="D52" s="4" t="inlineStr">
        <is>
          <t>LM7171 feedback resistor; gain = 1 + R_F/R_G = 5.8. One per channel</t>
        </is>
      </c>
      <c r="E52" s="5" t="inlineStr">
        <is>
          <t>Post-Amp</t>
        </is>
      </c>
      <c r="F52" s="5" t="n">
        <v>2</v>
      </c>
      <c r="G52" s="4" t="inlineStr"/>
      <c r="H52" s="4" t="inlineStr"/>
      <c r="I52" s="5" t="inlineStr"/>
    </row>
    <row r="53" ht="30" customHeight="1">
      <c r="A53" s="4" t="inlineStr">
        <is>
          <t>Resistor</t>
        </is>
      </c>
      <c r="B53" s="4" t="inlineStr">
        <is>
          <t>R_G_2, R_G_3</t>
        </is>
      </c>
      <c r="C53" s="4" t="inlineStr">
        <is>
          <t>10kΩ</t>
        </is>
      </c>
      <c r="D53" s="4" t="inlineStr">
        <is>
          <t>LM7171 inverting-input leg to GND; one per channel</t>
        </is>
      </c>
      <c r="E53" s="5" t="inlineStr">
        <is>
          <t>Post-Amp</t>
        </is>
      </c>
      <c r="F53" s="5" t="n">
        <v>2</v>
      </c>
      <c r="G53" s="4" t="inlineStr"/>
      <c r="H53" s="4" t="inlineStr"/>
      <c r="I53" s="5" t="inlineStr"/>
    </row>
    <row r="54" ht="30" customHeight="1">
      <c r="A54" s="4" t="inlineStr">
        <is>
          <t>Resistor</t>
        </is>
      </c>
      <c r="B54" s="4" t="inlineStr">
        <is>
          <t>R_B_2, R_B_3</t>
        </is>
      </c>
      <c r="C54" s="4" t="inlineStr">
        <is>
          <t>100kΩ</t>
        </is>
      </c>
      <c r="D54" s="4" t="inlineStr">
        <is>
          <t>LM7171 + input bias to GND; one per channel</t>
        </is>
      </c>
      <c r="E54" s="5" t="inlineStr">
        <is>
          <t>Post-Amp</t>
        </is>
      </c>
      <c r="F54" s="5" t="n">
        <v>2</v>
      </c>
      <c r="G54" s="4" t="inlineStr"/>
      <c r="H54" s="4" t="inlineStr"/>
      <c r="I54" s="5" t="inlineStr"/>
    </row>
    <row r="55" ht="30" customHeight="1">
      <c r="A55" s="6" t="inlineStr">
        <is>
          <t>Capacitor</t>
        </is>
      </c>
      <c r="B55" s="6" t="inlineStr">
        <is>
          <t>C_IN_2, C_IN_3</t>
        </is>
      </c>
      <c r="C55" s="6" t="inlineStr">
        <is>
          <t>100nF X7R</t>
        </is>
      </c>
      <c r="D55" s="6" t="inlineStr">
        <is>
          <t>AC-couple from MC1496 OUT (+10 V DC quiescent) to op-amp + input; one per channel</t>
        </is>
      </c>
      <c r="E55" s="7" t="inlineStr">
        <is>
          <t>Post-Amp</t>
        </is>
      </c>
      <c r="F55" s="7" t="n">
        <v>2</v>
      </c>
      <c r="G55" s="6" t="inlineStr"/>
      <c r="H55" s="6" t="inlineStr"/>
      <c r="I55" s="7" t="inlineStr"/>
    </row>
    <row r="56" ht="30" customHeight="1">
      <c r="A56" s="6" t="inlineStr">
        <is>
          <t>Capacitor</t>
        </is>
      </c>
      <c r="B56" s="6" t="inlineStr">
        <is>
          <t>C_OUT_2, C_OUT_3</t>
        </is>
      </c>
      <c r="C56" s="6" t="inlineStr">
        <is>
          <t>100nF X7R</t>
        </is>
      </c>
      <c r="D56" s="6" t="inlineStr">
        <is>
          <t>AC-couple from op-amp output to 12HG7 cathode-input (grounded-grid stage); one per channel</t>
        </is>
      </c>
      <c r="E56" s="7" t="inlineStr">
        <is>
          <t>Post-Amp</t>
        </is>
      </c>
      <c r="F56" s="7" t="n">
        <v>2</v>
      </c>
      <c r="G56" s="6" t="inlineStr"/>
      <c r="H56" s="6" t="inlineStr"/>
      <c r="I56" s="7" t="inlineStr"/>
    </row>
    <row r="57" ht="30" customHeight="1">
      <c r="A57" s="6" t="inlineStr">
        <is>
          <t>Capacitor</t>
        </is>
      </c>
      <c r="B57" s="6" t="inlineStr">
        <is>
          <t>C_BP_LM_BULK</t>
        </is>
      </c>
      <c r="C57" s="6" t="inlineStr">
        <is>
          <t>10µF aluminum</t>
        </is>
      </c>
      <c r="D57" s="6" t="inlineStr">
        <is>
          <t>LM7171 supply bulk bypass — one across +12 V → GND, one across −8.3 V → GND, ≤10 mm from supply pins</t>
        </is>
      </c>
      <c r="E57" s="7" t="inlineStr">
        <is>
          <t>Post-Amp</t>
        </is>
      </c>
      <c r="F57" s="7" t="n">
        <v>2</v>
      </c>
      <c r="G57" s="6" t="inlineStr"/>
      <c r="H57" s="6" t="inlineStr"/>
      <c r="I57" s="7" t="inlineStr"/>
    </row>
    <row r="58" ht="30" customHeight="1">
      <c r="A58" s="6" t="inlineStr">
        <is>
          <t>Capacitor</t>
        </is>
      </c>
      <c r="B58" s="6" t="inlineStr">
        <is>
          <t>C_BP_LM_HF</t>
        </is>
      </c>
      <c r="C58" s="6" t="inlineStr">
        <is>
          <t>100nF ceramic</t>
        </is>
      </c>
      <c r="D58" s="6" t="inlineStr">
        <is>
          <t>LM7171 supply HF bypass — one per rail (+12 V and −8.3 V), ≤10 mm from supply pins</t>
        </is>
      </c>
      <c r="E58" s="7" t="inlineStr">
        <is>
          <t>Post-Amp</t>
        </is>
      </c>
      <c r="F58" s="7" t="n">
        <v>2</v>
      </c>
      <c r="G58" s="6" t="inlineStr"/>
      <c r="H58" s="6" t="inlineStr"/>
      <c r="I58" s="7" t="inlineStr"/>
    </row>
    <row r="59" ht="30" customHeight="1">
      <c r="A59" s="16" t="inlineStr">
        <is>
          <t>Tube</t>
        </is>
      </c>
      <c r="B59" s="16" t="inlineStr">
        <is>
          <t>2× 12HG7</t>
        </is>
      </c>
      <c r="C59" s="16" t="inlineStr">
        <is>
          <t>12HG7</t>
        </is>
      </c>
      <c r="D59" s="16" t="inlineStr">
        <is>
          <t>Push-pull driver; 150V B+; push-pull pair</t>
        </is>
      </c>
      <c r="E59" s="17" t="inlineStr">
        <is>
          <t>Driver</t>
        </is>
      </c>
      <c r="F59" s="17" t="n">
        <v>2</v>
      </c>
      <c r="G59" s="16" t="inlineStr">
        <is>
          <t>12HG7.pdf</t>
        </is>
      </c>
      <c r="H59" s="16" t="inlineStr"/>
      <c r="I59" s="17" t="inlineStr"/>
    </row>
    <row r="60" ht="30" customHeight="1">
      <c r="A60" s="4" t="inlineStr">
        <is>
          <t>Resistor</t>
        </is>
      </c>
      <c r="B60" s="4" t="inlineStr">
        <is>
          <t>R2, R6</t>
        </is>
      </c>
      <c r="C60" s="4" t="inlineStr">
        <is>
          <t>1kΩ</t>
        </is>
      </c>
      <c r="D60" s="4" t="inlineStr">
        <is>
          <t>Screen resistors</t>
        </is>
      </c>
      <c r="E60" s="5" t="inlineStr">
        <is>
          <t>Driver</t>
        </is>
      </c>
      <c r="F60" s="5" t="n">
        <v>2</v>
      </c>
      <c r="G60" s="4" t="inlineStr"/>
      <c r="H60" s="4" t="inlineStr"/>
      <c r="I60" s="5" t="inlineStr"/>
    </row>
    <row r="61" ht="30" customHeight="1">
      <c r="A61" s="4" t="inlineStr">
        <is>
          <t>Resistor</t>
        </is>
      </c>
      <c r="B61" s="4" t="inlineStr">
        <is>
          <t>R4, R7</t>
        </is>
      </c>
      <c r="C61" s="4" t="inlineStr">
        <is>
          <t>47kΩ</t>
        </is>
      </c>
      <c r="D61" s="4" t="inlineStr">
        <is>
          <t>Grid bias resistors</t>
        </is>
      </c>
      <c r="E61" s="5" t="inlineStr">
        <is>
          <t>Driver</t>
        </is>
      </c>
      <c r="F61" s="5" t="n">
        <v>2</v>
      </c>
      <c r="G61" s="4" t="inlineStr"/>
      <c r="H61" s="4" t="inlineStr"/>
      <c r="I61" s="5" t="inlineStr"/>
    </row>
    <row r="62" ht="30" customHeight="1">
      <c r="A62" s="4" t="inlineStr">
        <is>
          <t>Resistor</t>
        </is>
      </c>
      <c r="B62" s="4" t="inlineStr">
        <is>
          <t>R1, R3, R8, R9</t>
        </is>
      </c>
      <c r="C62" s="4" t="inlineStr">
        <is>
          <t>100Ω</t>
        </is>
      </c>
      <c r="D62" s="4" t="inlineStr">
        <is>
          <t>4 identical resistors</t>
        </is>
      </c>
      <c r="E62" s="5" t="inlineStr">
        <is>
          <t>Driver</t>
        </is>
      </c>
      <c r="F62" s="5" t="n">
        <v>4</v>
      </c>
      <c r="G62" s="4" t="inlineStr"/>
      <c r="H62" s="4" t="inlineStr"/>
      <c r="I62" s="5" t="inlineStr"/>
    </row>
    <row r="63" ht="30" customHeight="1">
      <c r="A63" s="6" t="inlineStr">
        <is>
          <t>Capacitor</t>
        </is>
      </c>
      <c r="B63" s="6" t="inlineStr">
        <is>
          <t>C2, C4, C5</t>
        </is>
      </c>
      <c r="C63" s="6" t="inlineStr">
        <is>
          <t>10nF</t>
        </is>
      </c>
      <c r="D63" s="6" t="inlineStr">
        <is>
          <t>2× 10nF in parallel per position (shown as 0.01001µF in schematic); 3 positions = 6 caps total</t>
        </is>
      </c>
      <c r="E63" s="7" t="inlineStr">
        <is>
          <t>Driver</t>
        </is>
      </c>
      <c r="F63" s="7" t="n">
        <v>6</v>
      </c>
      <c r="G63" s="6" t="inlineStr"/>
      <c r="H63" s="6" t="inlineStr"/>
      <c r="I63" s="7" t="inlineStr"/>
    </row>
    <row r="64" ht="30" customHeight="1">
      <c r="A64" s="6" t="inlineStr">
        <is>
          <t>Capacitor</t>
        </is>
      </c>
      <c r="B64" s="6" t="inlineStr">
        <is>
          <t>C6, C7</t>
        </is>
      </c>
      <c r="C64" s="6" t="inlineStr">
        <is>
          <t>10nF</t>
        </is>
      </c>
      <c r="D64" s="6" t="inlineStr">
        <is>
          <t>Bypass caps</t>
        </is>
      </c>
      <c r="E64" s="7" t="inlineStr">
        <is>
          <t>Driver</t>
        </is>
      </c>
      <c r="F64" s="7" t="n">
        <v>2</v>
      </c>
      <c r="G64" s="6" t="inlineStr"/>
      <c r="H64" s="6" t="inlineStr"/>
      <c r="I64" s="7" t="inlineStr"/>
    </row>
    <row r="65" ht="30" customHeight="1">
      <c r="A65" s="8" t="inlineStr">
        <is>
          <t>Inductor</t>
        </is>
      </c>
      <c r="B65" s="8" t="inlineStr">
        <is>
          <t>L1, L3</t>
        </is>
      </c>
      <c r="C65" s="8" t="inlineStr">
        <is>
          <t>1µH</t>
        </is>
      </c>
      <c r="D65" s="8" t="inlineStr">
        <is>
          <t>Plate RFC; commercial molded choke; &gt;50mA</t>
        </is>
      </c>
      <c r="E65" s="9" t="inlineStr">
        <is>
          <t>Driver</t>
        </is>
      </c>
      <c r="F65" s="9" t="n">
        <v>2</v>
      </c>
      <c r="G65" s="8" t="inlineStr"/>
      <c r="H65" s="8" t="inlineStr"/>
      <c r="I65" s="9" t="inlineStr"/>
    </row>
    <row r="66" ht="30" customHeight="1">
      <c r="A66" s="16" t="inlineStr">
        <is>
          <t>Tube</t>
        </is>
      </c>
      <c r="B66" s="16" t="inlineStr">
        <is>
          <t>2× 6146B</t>
        </is>
      </c>
      <c r="C66" s="16" t="inlineStr">
        <is>
          <t>6146B</t>
        </is>
      </c>
      <c r="D66" s="16" t="inlineStr">
        <is>
          <t>600V B+, 200V screen, −70V grid; push-pull pair</t>
        </is>
      </c>
      <c r="E66" s="17" t="inlineStr">
        <is>
          <t>PA</t>
        </is>
      </c>
      <c r="F66" s="17" t="n">
        <v>2</v>
      </c>
      <c r="G66" s="16" t="inlineStr">
        <is>
          <t>6146b_big.pdf</t>
        </is>
      </c>
      <c r="H66" s="16" t="inlineStr"/>
      <c r="I66" s="17" t="inlineStr"/>
    </row>
    <row r="67" ht="30" customHeight="1">
      <c r="A67" s="4" t="inlineStr">
        <is>
          <t>Resistor</t>
        </is>
      </c>
      <c r="B67" s="4" t="inlineStr">
        <is>
          <t>R1, R5</t>
        </is>
      </c>
      <c r="C67" s="4" t="inlineStr">
        <is>
          <t>10Ω</t>
        </is>
      </c>
      <c r="D67" s="4" t="inlineStr">
        <is>
          <t>Cathode resistors AND the cathode-current sense element (R_C in pa_cathode_monitor.md). Metal-film 1 W gives ~4× margin at 150 mA (0.225 W); 2 W carbon-comp also fine for headroom. Vishay PR01 or similar. Mount with C_BYP_CATH (0.01 µF NP0) directly at the tube-socket pin — the DC sense tap leaves the resistor top BEFORE that bypass cap</t>
        </is>
      </c>
      <c r="E67" s="5" t="inlineStr">
        <is>
          <t>PA</t>
        </is>
      </c>
      <c r="F67" s="5" t="n">
        <v>2</v>
      </c>
      <c r="G67" s="4" t="inlineStr"/>
      <c r="H67" s="4" t="inlineStr"/>
      <c r="I67" s="5" t="inlineStr"/>
    </row>
    <row r="68" ht="30" customHeight="1">
      <c r="A68" s="6" t="inlineStr">
        <is>
          <t>Capacitor</t>
        </is>
      </c>
      <c r="B68" s="6" t="inlineStr">
        <is>
          <t>C_BYP_CATH1, C_BYP_CATH2</t>
        </is>
      </c>
      <c r="C68" s="6" t="inlineStr">
        <is>
          <t>0.01µF</t>
        </is>
      </c>
      <c r="D68" s="6" t="inlineStr">
        <is>
          <t>NP0 ceramic, 100 V, 1206 or smaller (low-ESL). Mounted DIRECTLY at the tube-socket cathode pin, ≤5 mm leads. RF bypass that keeps 14 MHz out of the sense chain — one per tube</t>
        </is>
      </c>
      <c r="E68" s="7" t="inlineStr">
        <is>
          <t>PA</t>
        </is>
      </c>
      <c r="F68" s="7" t="n">
        <v>2</v>
      </c>
      <c r="G68" s="6" t="inlineStr"/>
      <c r="H68" s="6" t="inlineStr"/>
      <c r="I68" s="7" t="inlineStr"/>
    </row>
    <row r="69" ht="30" customHeight="1">
      <c r="A69" s="4" t="inlineStr">
        <is>
          <t>Resistor</t>
        </is>
      </c>
      <c r="B69" s="4" t="inlineStr">
        <is>
          <t>R3, R7</t>
        </is>
      </c>
      <c r="C69" s="4" t="inlineStr">
        <is>
          <t>1kΩ</t>
        </is>
      </c>
      <c r="D69" s="4" t="inlineStr">
        <is>
          <t>Screen resistors</t>
        </is>
      </c>
      <c r="E69" s="5" t="inlineStr">
        <is>
          <t>PA</t>
        </is>
      </c>
      <c r="F69" s="5" t="n">
        <v>2</v>
      </c>
      <c r="G69" s="4" t="inlineStr"/>
      <c r="H69" s="4" t="inlineStr"/>
      <c r="I69" s="5" t="inlineStr"/>
    </row>
    <row r="70" ht="30" customHeight="1">
      <c r="A70" s="4" t="inlineStr">
        <is>
          <t>Resistor</t>
        </is>
      </c>
      <c r="B70" s="4" t="inlineStr">
        <is>
          <t>R4, R8</t>
        </is>
      </c>
      <c r="C70" s="4" t="inlineStr">
        <is>
          <t>22kΩ</t>
        </is>
      </c>
      <c r="D70" s="4" t="inlineStr">
        <is>
          <t>Grid bias resistors</t>
        </is>
      </c>
      <c r="E70" s="5" t="inlineStr">
        <is>
          <t>PA</t>
        </is>
      </c>
      <c r="F70" s="5" t="n">
        <v>2</v>
      </c>
      <c r="G70" s="4" t="inlineStr"/>
      <c r="H70" s="4" t="inlineStr"/>
      <c r="I70" s="5" t="inlineStr"/>
    </row>
    <row r="71" ht="30" customHeight="1">
      <c r="A71" s="4" t="inlineStr">
        <is>
          <t>Resistor</t>
        </is>
      </c>
      <c r="B71" s="4" t="inlineStr">
        <is>
          <t>R2, R6</t>
        </is>
      </c>
      <c r="C71" s="4" t="inlineStr">
        <is>
          <t>220Ω</t>
        </is>
      </c>
      <c r="D71" s="4" t="inlineStr"/>
      <c r="E71" s="5" t="inlineStr">
        <is>
          <t>PA</t>
        </is>
      </c>
      <c r="F71" s="5" t="n">
        <v>2</v>
      </c>
      <c r="G71" s="4" t="inlineStr"/>
      <c r="H71" s="4" t="inlineStr"/>
      <c r="I71" s="5" t="inlineStr"/>
    </row>
    <row r="72" ht="30" customHeight="1">
      <c r="A72" s="4" t="inlineStr">
        <is>
          <t>Resistor</t>
        </is>
      </c>
      <c r="B72" s="4" t="inlineStr">
        <is>
          <t>R14, R15</t>
        </is>
      </c>
      <c r="C72" s="4" t="inlineStr">
        <is>
          <t>47Ω</t>
        </is>
      </c>
      <c r="D72" s="4" t="inlineStr"/>
      <c r="E72" s="5" t="inlineStr">
        <is>
          <t>PA</t>
        </is>
      </c>
      <c r="F72" s="5" t="n">
        <v>2</v>
      </c>
      <c r="G72" s="4" t="inlineStr"/>
      <c r="H72" s="4" t="inlineStr"/>
      <c r="I72" s="5" t="inlineStr"/>
    </row>
    <row r="73" ht="30" customHeight="1">
      <c r="A73" s="6" t="inlineStr">
        <is>
          <t>Capacitor</t>
        </is>
      </c>
      <c r="B73" s="6" t="inlineStr">
        <is>
          <t>C6, C7</t>
        </is>
      </c>
      <c r="C73" s="6" t="inlineStr">
        <is>
          <t>0.24pF</t>
        </is>
      </c>
      <c r="D73" s="6" t="inlineStr">
        <is>
          <t>Cak compensation; verify availability — very low value</t>
        </is>
      </c>
      <c r="E73" s="7" t="inlineStr">
        <is>
          <t>PA</t>
        </is>
      </c>
      <c r="F73" s="7" t="n">
        <v>2</v>
      </c>
      <c r="G73" s="6" t="inlineStr"/>
      <c r="H73" s="6" t="inlineStr"/>
      <c r="I73" s="7" t="inlineStr"/>
    </row>
    <row r="74" ht="30" customHeight="1">
      <c r="A74" s="6" t="inlineStr">
        <is>
          <t>Capacitor</t>
        </is>
      </c>
      <c r="B74" s="6" t="inlineStr">
        <is>
          <t>C8, C10</t>
        </is>
      </c>
      <c r="C74" s="6" t="inlineStr">
        <is>
          <t>10nF</t>
        </is>
      </c>
      <c r="D74" s="6" t="inlineStr">
        <is>
          <t>Bypass; must be rated for HV (≥1kV)</t>
        </is>
      </c>
      <c r="E74" s="7" t="inlineStr">
        <is>
          <t>PA</t>
        </is>
      </c>
      <c r="F74" s="7" t="n">
        <v>2</v>
      </c>
      <c r="G74" s="6" t="inlineStr"/>
      <c r="H74" s="6" t="inlineStr"/>
      <c r="I74" s="7" t="inlineStr"/>
    </row>
    <row r="75" ht="30" customHeight="1">
      <c r="A75" s="6" t="inlineStr">
        <is>
          <t>Capacitor</t>
        </is>
      </c>
      <c r="B75" s="6" t="inlineStr">
        <is>
          <t>C9, C11</t>
        </is>
      </c>
      <c r="C75" s="6" t="inlineStr">
        <is>
          <t>100pF</t>
        </is>
      </c>
      <c r="D75" s="6" t="inlineStr">
        <is>
          <t>Bypass; must be rated for HV (≥1kV)</t>
        </is>
      </c>
      <c r="E75" s="7" t="inlineStr">
        <is>
          <t>PA</t>
        </is>
      </c>
      <c r="F75" s="7" t="n">
        <v>2</v>
      </c>
      <c r="G75" s="6" t="inlineStr"/>
      <c r="H75" s="6" t="inlineStr"/>
      <c r="I75" s="7" t="inlineStr"/>
    </row>
    <row r="76" ht="30" customHeight="1">
      <c r="A76" s="6" t="inlineStr">
        <is>
          <t>Capacitor</t>
        </is>
      </c>
      <c r="B76" s="6" t="inlineStr">
        <is>
          <t>C12, C13</t>
        </is>
      </c>
      <c r="C76" s="6" t="inlineStr">
        <is>
          <t>33pF</t>
        </is>
      </c>
      <c r="D76" s="6" t="inlineStr">
        <is>
          <t>Plate tank; ganged variable cap 8–100pF; user has these</t>
        </is>
      </c>
      <c r="E76" s="7" t="inlineStr">
        <is>
          <t>PA</t>
        </is>
      </c>
      <c r="F76" s="7" t="n">
        <v>2</v>
      </c>
      <c r="G76" s="6" t="inlineStr"/>
      <c r="H76" s="6" t="inlineStr"/>
      <c r="I76" s="7" t="inlineStr"/>
    </row>
    <row r="77" ht="30" customHeight="1">
      <c r="A77" s="8" t="inlineStr">
        <is>
          <t>Inductor</t>
        </is>
      </c>
      <c r="B77" s="8" t="inlineStr">
        <is>
          <t>L4, L5</t>
        </is>
      </c>
      <c r="C77" s="8" t="inlineStr">
        <is>
          <t>1.71µH ea</t>
        </is>
      </c>
      <c r="D77" s="8" t="inlineStr">
        <is>
          <t>T-106-6 (Mix 6); center-tapped tank halves wound on ONE core with L6; ~19T each half; see L6 row</t>
        </is>
      </c>
      <c r="E77" s="9" t="inlineStr">
        <is>
          <t>PA</t>
        </is>
      </c>
      <c r="F77" s="9" t="n">
        <v>1</v>
      </c>
      <c r="G77" s="8" t="inlineStr"/>
      <c r="H77" s="8" t="inlineStr">
        <is>
          <t>Amidon / Kits&amp;Parts</t>
        </is>
      </c>
      <c r="I77" s="9" t="inlineStr"/>
    </row>
    <row r="78" ht="30" customHeight="1">
      <c r="A78" s="8" t="inlineStr">
        <is>
          <t>Inductor</t>
        </is>
      </c>
      <c r="B78" s="8" t="inlineStr">
        <is>
          <t>L6</t>
        </is>
      </c>
      <c r="C78" s="8" t="inlineStr">
        <is>
          <t>0.27µH</t>
        </is>
      </c>
      <c r="D78" s="8" t="inlineStr">
        <is>
          <t>Tank link/output winding; same T-106-6 core as L4/L5; ~8T</t>
        </is>
      </c>
      <c r="E78" s="9" t="inlineStr">
        <is>
          <t>PA</t>
        </is>
      </c>
      <c r="F78" s="9" t="n">
        <v>1</v>
      </c>
      <c r="G78" s="8" t="inlineStr"/>
      <c r="H78" s="8" t="inlineStr">
        <is>
          <t>Amidon / Kits&amp;Parts</t>
        </is>
      </c>
      <c r="I78" s="9" t="inlineStr"/>
    </row>
    <row r="79" ht="30" customHeight="1">
      <c r="A79" s="8" t="inlineStr">
        <is>
          <t>Inductor</t>
        </is>
      </c>
      <c r="B79" s="8" t="inlineStr">
        <is>
          <t>L10, L11</t>
        </is>
      </c>
      <c r="C79" s="8" t="inlineStr">
        <is>
          <t>1µH</t>
        </is>
      </c>
      <c r="D79" s="8" t="inlineStr">
        <is>
          <t>Screen/supply decoupling choke; commercial molded; HV-rated</t>
        </is>
      </c>
      <c r="E79" s="9" t="inlineStr">
        <is>
          <t>PA</t>
        </is>
      </c>
      <c r="F79" s="9" t="n">
        <v>2</v>
      </c>
      <c r="G79" s="8" t="inlineStr"/>
      <c r="H79" s="8" t="inlineStr"/>
      <c r="I79" s="9" t="inlineStr"/>
    </row>
    <row r="80" ht="30" customHeight="1">
      <c r="A80" s="2" t="inlineStr">
        <is>
          <t>IC</t>
        </is>
      </c>
      <c r="B80" s="2" t="inlineStr">
        <is>
          <t>U_BIAS_DAC</t>
        </is>
      </c>
      <c r="C80" s="2" t="inlineStr">
        <is>
          <t>MCP4728</t>
        </is>
      </c>
      <c r="D80" s="2" t="inlineStr">
        <is>
          <t>Quad 12-bit I²C DAC; one chip covers both tube grids (channels A &amp; B) with C &amp; D spare for future PA controls. Factory address 0x60 collides with Si5351 — order with an alternate address pre-programmed (e.g. 0x61), or sit on a second I²C peripheral. Safe-park: EEPROM startup code = 0 → −90 V (deep cutoff)</t>
        </is>
      </c>
      <c r="E80" s="3" t="inlineStr">
        <is>
          <t>Grid Bias</t>
        </is>
      </c>
      <c r="F80" s="3" t="n">
        <v>1</v>
      </c>
      <c r="G80" s="2" t="inlineStr">
        <is>
          <t>MCP4725_2009.pdf</t>
        </is>
      </c>
      <c r="H80" s="2" t="inlineStr"/>
      <c r="I80" s="3" t="inlineStr"/>
    </row>
    <row r="81" ht="30" customHeight="1">
      <c r="A81" s="2" t="inlineStr">
        <is>
          <t>IC</t>
        </is>
      </c>
      <c r="B81" s="2" t="inlineStr">
        <is>
          <t>U_BIAS1, U_BIAS2</t>
        </is>
      </c>
      <c r="C81" s="2" t="inlineStr">
        <is>
          <t>OPA454</t>
        </is>
      </c>
      <c r="D81" s="2" t="inlineStr">
        <is>
          <t>High-voltage op-amp (±100 V, ±50 mA); DIP-8 or SOIC-8. One per tube. Configured as inverter: DAC 0–5 V → −90 V (IDLE) … −50 V (OPERATE). Cheaper alt: discrete level-shifter with KSP44 PNP (400 V)</t>
        </is>
      </c>
      <c r="E81" s="3" t="inlineStr">
        <is>
          <t>Grid Bias</t>
        </is>
      </c>
      <c r="F81" s="3" t="n">
        <v>2</v>
      </c>
      <c r="G81" s="2" t="inlineStr">
        <is>
          <t>opa454.pdf</t>
        </is>
      </c>
      <c r="H81" s="2" t="inlineStr"/>
      <c r="I81" s="3" t="inlineStr"/>
    </row>
    <row r="82" ht="30" customHeight="1">
      <c r="A82" s="4" t="inlineStr">
        <is>
          <t>Resistor</t>
        </is>
      </c>
      <c r="B82" s="4" t="inlineStr">
        <is>
          <t>R_BIAS_PAD1, R_BIAS_PAD2</t>
        </is>
      </c>
      <c r="C82" s="4" t="inlineStr">
        <is>
          <t>1kΩ</t>
        </is>
      </c>
      <c r="D82" s="4" t="inlineStr">
        <is>
          <t>Metal film 1%; DAC output → OPA454 + input series impedance (one per tube)</t>
        </is>
      </c>
      <c r="E82" s="5" t="inlineStr">
        <is>
          <t>Grid Bias</t>
        </is>
      </c>
      <c r="F82" s="5" t="n">
        <v>2</v>
      </c>
      <c r="G82" s="4" t="inlineStr"/>
      <c r="H82" s="4" t="inlineStr"/>
      <c r="I82" s="5" t="inlineStr"/>
    </row>
    <row r="83" ht="30" customHeight="1">
      <c r="A83" s="4" t="inlineStr">
        <is>
          <t>Resistor</t>
        </is>
      </c>
      <c r="B83" s="4" t="inlineStr">
        <is>
          <t>R_BIAS_G1, R_BIAS_G2</t>
        </is>
      </c>
      <c r="C83" s="4" t="inlineStr">
        <is>
          <t>10kΩ</t>
        </is>
      </c>
      <c r="D83" s="4" t="inlineStr">
        <is>
          <t>Metal film 1%; OPA454 inverting-input return to +5 V LM4040 reference (one per tube)</t>
        </is>
      </c>
      <c r="E83" s="5" t="inlineStr">
        <is>
          <t>Grid Bias</t>
        </is>
      </c>
      <c r="F83" s="5" t="n">
        <v>2</v>
      </c>
      <c r="G83" s="4" t="inlineStr"/>
      <c r="H83" s="4" t="inlineStr"/>
      <c r="I83" s="5" t="inlineStr"/>
    </row>
    <row r="84" ht="30" customHeight="1">
      <c r="A84" s="4" t="inlineStr">
        <is>
          <t>Resistor</t>
        </is>
      </c>
      <c r="B84" s="4" t="inlineStr">
        <is>
          <t>R_BIAS_F1, R_BIAS_F2</t>
        </is>
      </c>
      <c r="C84" s="4" t="inlineStr">
        <is>
          <t>170kΩ</t>
        </is>
      </c>
      <c r="D84" s="4" t="inlineStr">
        <is>
          <t>Metal film 1%; OPA454 feedback (sets gain ≈ 18 × DAC → −90…−50 V range; one per tube)</t>
        </is>
      </c>
      <c r="E84" s="5" t="inlineStr">
        <is>
          <t>Grid Bias</t>
        </is>
      </c>
      <c r="F84" s="5" t="n">
        <v>2</v>
      </c>
      <c r="G84" s="4" t="inlineStr"/>
      <c r="H84" s="4" t="inlineStr"/>
      <c r="I84" s="5" t="inlineStr"/>
    </row>
    <row r="85" ht="30" customHeight="1">
      <c r="A85" s="4" t="inlineStr">
        <is>
          <t>Resistor</t>
        </is>
      </c>
      <c r="B85" s="4" t="inlineStr">
        <is>
          <t>R_BIAS_GL1, R_BIAS_GL2</t>
        </is>
      </c>
      <c r="C85" s="4" t="inlineStr">
        <is>
          <t>22kΩ</t>
        </is>
      </c>
      <c r="D85" s="4" t="inlineStr">
        <is>
          <t>Metal film 1%; OPA454 output → 6146B grid (acts as both R_GL grid leak AND series isolation). One per tube — these REPLACE the role of the PA section R4 / R8</t>
        </is>
      </c>
      <c r="E85" s="5" t="inlineStr">
        <is>
          <t>Grid Bias</t>
        </is>
      </c>
      <c r="F85" s="5" t="n">
        <v>2</v>
      </c>
      <c r="G85" s="4" t="inlineStr"/>
      <c r="H85" s="4" t="inlineStr"/>
      <c r="I85" s="5" t="inlineStr"/>
    </row>
    <row r="86" ht="30" customHeight="1">
      <c r="A86" s="4" t="inlineStr">
        <is>
          <t>Resistor</t>
        </is>
      </c>
      <c r="B86" s="4" t="inlineStr">
        <is>
          <t>R_BIAS_GATE1, R_BIAS_GATE2</t>
        </is>
      </c>
      <c r="C86" s="4" t="inlineStr">
        <is>
          <t>10kΩ</t>
        </is>
      </c>
      <c r="D86" s="4" t="inlineStr">
        <is>
          <t>Metal film 1%; Q_SLAM gate-drive resistor (CT_FAULT → Q_SLAM N-MOSFET gate; one per tube)</t>
        </is>
      </c>
      <c r="E86" s="5" t="inlineStr">
        <is>
          <t>Grid Bias</t>
        </is>
      </c>
      <c r="F86" s="5" t="n">
        <v>2</v>
      </c>
      <c r="G86" s="4" t="inlineStr"/>
      <c r="H86" s="4" t="inlineStr"/>
      <c r="I86" s="5" t="inlineStr"/>
    </row>
    <row r="87" ht="30" customHeight="1">
      <c r="A87" s="10" t="inlineStr">
        <is>
          <t>Semiconductor</t>
        </is>
      </c>
      <c r="B87" s="10" t="inlineStr">
        <is>
          <t>Q_SLAM1, Q_SLAM2</t>
        </is>
      </c>
      <c r="C87" s="10" t="inlineStr">
        <is>
          <t>2N7000</t>
        </is>
      </c>
      <c r="D87" s="10" t="inlineStr">
        <is>
          <t>N-channel MOSFET (TO-92); CT_FAULT bias-slam — pulls OPA454 + input to −85V rail on fault, slamming both tubes to deep cutoff in &lt;1 µs. Alt: BSS138 (SOT-23). One per tube</t>
        </is>
      </c>
      <c r="E87" s="11" t="inlineStr">
        <is>
          <t>Grid Bias</t>
        </is>
      </c>
      <c r="F87" s="11" t="n">
        <v>2</v>
      </c>
      <c r="G87" s="10" t="inlineStr"/>
      <c r="H87" s="10" t="inlineStr"/>
      <c r="I87" s="11" t="inlineStr"/>
    </row>
    <row r="88" ht="30" customHeight="1">
      <c r="A88" s="2" t="inlineStr">
        <is>
          <t>IC</t>
        </is>
      </c>
      <c r="B88" s="2" t="inlineStr">
        <is>
          <t>U_BIAS_REF</t>
        </is>
      </c>
      <c r="C88" s="2" t="inlineStr">
        <is>
          <t>LM4040DIZ-5.0</t>
        </is>
      </c>
      <c r="D88" s="2" t="inlineStr">
        <is>
          <t>Precision 5.0 V shunt reference (TO-92); shared between both OPA454 stages. Bias resistor 1.5 kΩ 1/4 W from +12 V sets ~5 mA shunt current</t>
        </is>
      </c>
      <c r="E88" s="3" t="inlineStr">
        <is>
          <t>Grid Bias</t>
        </is>
      </c>
      <c r="F88" s="3" t="n">
        <v>1</v>
      </c>
      <c r="G88" s="2" t="inlineStr"/>
      <c r="H88" s="2" t="inlineStr"/>
      <c r="I88" s="3" t="inlineStr"/>
    </row>
    <row r="89" ht="30" customHeight="1">
      <c r="A89" s="4" t="inlineStr">
        <is>
          <t>Resistor</t>
        </is>
      </c>
      <c r="B89" s="4" t="inlineStr">
        <is>
          <t>R_BIAS_REF</t>
        </is>
      </c>
      <c r="C89" s="4" t="inlineStr">
        <is>
          <t>1.5kΩ</t>
        </is>
      </c>
      <c r="D89" s="4" t="inlineStr">
        <is>
          <t>Metal film 1%; LM4040 series resistor from +12 V (sets shunt current to ~5 mA)</t>
        </is>
      </c>
      <c r="E89" s="5" t="inlineStr">
        <is>
          <t>Grid Bias</t>
        </is>
      </c>
      <c r="F89" s="5" t="n">
        <v>1</v>
      </c>
      <c r="G89" s="4" t="inlineStr"/>
      <c r="H89" s="4" t="inlineStr"/>
      <c r="I89" s="5" t="inlineStr"/>
    </row>
    <row r="90" ht="30" customHeight="1">
      <c r="A90" s="6" t="inlineStr">
        <is>
          <t>Capacitor</t>
        </is>
      </c>
      <c r="B90" s="6" t="inlineStr">
        <is>
          <t>C_BIAS_DEC_OPA</t>
        </is>
      </c>
      <c r="C90" s="6" t="inlineStr">
        <is>
          <t>100nF ceramic</t>
        </is>
      </c>
      <c r="D90" s="6" t="inlineStr">
        <is>
          <t>OPA454 supply bypass per rail (±100 V supply) — one per IC per rail, ≤10 mm from supply pins</t>
        </is>
      </c>
      <c r="E90" s="7" t="inlineStr">
        <is>
          <t>Grid Bias</t>
        </is>
      </c>
      <c r="F90" s="7" t="n">
        <v>4</v>
      </c>
      <c r="G90" s="6" t="inlineStr"/>
      <c r="H90" s="6" t="inlineStr"/>
      <c r="I90" s="7" t="inlineStr"/>
    </row>
    <row r="91" ht="30" customHeight="1">
      <c r="A91" s="6" t="inlineStr">
        <is>
          <t>Capacitor</t>
        </is>
      </c>
      <c r="B91" s="6" t="inlineStr">
        <is>
          <t>C_BIAS_OUT1, C_BIAS_OUT2</t>
        </is>
      </c>
      <c r="C91" s="6" t="inlineStr">
        <is>
          <t>100nF</t>
        </is>
      </c>
      <c r="D91" s="6" t="inlineStr">
        <is>
          <t>NP0 200 V; OPA454 output to GND — RF bypass on the per-tube bias line. One per tube</t>
        </is>
      </c>
      <c r="E91" s="7" t="inlineStr">
        <is>
          <t>Grid Bias</t>
        </is>
      </c>
      <c r="F91" s="7" t="n">
        <v>2</v>
      </c>
      <c r="G91" s="6" t="inlineStr"/>
      <c r="H91" s="6" t="inlineStr"/>
      <c r="I91" s="7" t="inlineStr"/>
    </row>
    <row r="92" ht="30" customHeight="1">
      <c r="A92" s="2" t="inlineStr">
        <is>
          <t>IC</t>
        </is>
      </c>
      <c r="B92" s="2" t="inlineStr">
        <is>
          <t>PSU_BIAS_NEG</t>
        </is>
      </c>
      <c r="C92" s="2" t="inlineStr">
        <is>
          <t>−85 V supply</t>
        </is>
      </c>
      <c r="D92" s="2" t="inlineStr">
        <is>
          <t>PA-grid bias rail, isolated DC-DC + TL431 shunt regulator (or small bench supply during bring-up). Defines hardware safe-park: with firmware off or hung, OPA454 + input pulls to this rail through R_BIAS_F → tubes parked in cutoff. Specification handled in the power-supply design chat</t>
        </is>
      </c>
      <c r="E92" s="3" t="inlineStr">
        <is>
          <t>Grid Bias</t>
        </is>
      </c>
      <c r="F92" s="3" t="n">
        <v>1</v>
      </c>
      <c r="G92" s="2" t="inlineStr"/>
      <c r="H92" s="2" t="inlineStr"/>
      <c r="I92" s="3" t="inlineStr"/>
    </row>
    <row r="93" ht="30" customHeight="1">
      <c r="A93" s="8" t="inlineStr">
        <is>
          <t>Inductor</t>
        </is>
      </c>
      <c r="B93" s="8" t="inlineStr">
        <is>
          <t>F1_CATH1, F1_CATH2</t>
        </is>
      </c>
      <c r="C93" s="8" t="inlineStr">
        <is>
          <t>MF-R010 PTC</t>
        </is>
      </c>
      <c r="D93" s="8" t="inlineStr">
        <is>
          <t>Bourns MF-R010 resettable PTC fuse (100 mA hold, 200 mA trip, V_max 60 V). Layer 1 — thermal slow-blow; opens within ~1 s on sustained fault; auto-resets. One per tube</t>
        </is>
      </c>
      <c r="E93" s="9" t="inlineStr">
        <is>
          <t>Cathode Monitor</t>
        </is>
      </c>
      <c r="F93" s="9" t="n">
        <v>2</v>
      </c>
      <c r="G93" s="8" t="inlineStr"/>
      <c r="H93" s="8" t="inlineStr">
        <is>
          <t>Bourns / Digi-Key</t>
        </is>
      </c>
      <c r="I93" s="9" t="inlineStr"/>
    </row>
    <row r="94" ht="30" customHeight="1">
      <c r="A94" s="4" t="inlineStr">
        <is>
          <t>Resistor</t>
        </is>
      </c>
      <c r="B94" s="4" t="inlineStr">
        <is>
          <t>R_S_CATH1, R_S_CATH2</t>
        </is>
      </c>
      <c r="C94" s="4" t="inlineStr">
        <is>
          <t>10kΩ</t>
        </is>
      </c>
      <c r="D94" s="4" t="inlineStr">
        <is>
          <t>Metal film 1%, 1/4 W. Layer 2 — series current limiter; 600 V cathode-open fault → 60 mA into clamps. One per tube</t>
        </is>
      </c>
      <c r="E94" s="5" t="inlineStr">
        <is>
          <t>Cathode Monitor</t>
        </is>
      </c>
      <c r="F94" s="5" t="n">
        <v>2</v>
      </c>
      <c r="G94" s="4" t="inlineStr"/>
      <c r="H94" s="4" t="inlineStr"/>
      <c r="I94" s="5" t="inlineStr"/>
    </row>
    <row r="95" ht="30" customHeight="1">
      <c r="A95" s="10" t="inlineStr">
        <is>
          <t>Semiconductor</t>
        </is>
      </c>
      <c r="B95" s="10" t="inlineStr">
        <is>
          <t>D_CATH1+, D_CATH1−, D_CATH2+, D_CATH2−</t>
        </is>
      </c>
      <c r="C95" s="10" t="inlineStr">
        <is>
          <t>BAT54</t>
        </is>
      </c>
      <c r="D95" s="10" t="inlineStr">
        <is>
          <t>Schottky clamp diodes (SOT-23 or DO-35); D−=to GND, D+=to +3.3 V. Layer 3 — overvoltage clamp; survives the 60 mA fault transient until F1 trips. Alt: 1N5817 (higher current). Two per tube</t>
        </is>
      </c>
      <c r="E95" s="11" t="inlineStr">
        <is>
          <t>Cathode Monitor</t>
        </is>
      </c>
      <c r="F95" s="11" t="n">
        <v>4</v>
      </c>
      <c r="G95" s="10" t="inlineStr"/>
      <c r="H95" s="10" t="inlineStr"/>
      <c r="I95" s="11" t="inlineStr"/>
    </row>
    <row r="96" ht="30" customHeight="1">
      <c r="A96" s="6" t="inlineStr">
        <is>
          <t>Capacitor</t>
        </is>
      </c>
      <c r="B96" s="6" t="inlineStr">
        <is>
          <t>C_FILT_CATH1, C_FILT_CATH2</t>
        </is>
      </c>
      <c r="C96" s="6" t="inlineStr">
        <is>
          <t>1nF</t>
        </is>
      </c>
      <c r="D96" s="6" t="inlineStr">
        <is>
          <t>X7R 50 V; Layer 3 anti-alias / RF rejection at the clamp node — forms 16 kHz LPF with R_S. One per tube</t>
        </is>
      </c>
      <c r="E96" s="7" t="inlineStr">
        <is>
          <t>Cathode Monitor</t>
        </is>
      </c>
      <c r="F96" s="7" t="n">
        <v>2</v>
      </c>
      <c r="G96" s="6" t="inlineStr"/>
      <c r="H96" s="6" t="inlineStr"/>
      <c r="I96" s="7" t="inlineStr"/>
    </row>
    <row r="97" ht="30" customHeight="1">
      <c r="A97" s="2" t="inlineStr">
        <is>
          <t>IC</t>
        </is>
      </c>
      <c r="B97" s="2" t="inlineStr">
        <is>
          <t>U_CATH_BUF</t>
        </is>
      </c>
      <c r="C97" s="2" t="inlineStr">
        <is>
          <t>OPA1642</t>
        </is>
      </c>
      <c r="D97" s="2" t="inlineStr">
        <is>
          <t>Dual FET-input op-amp (DIP-8) — Layer 4 ADC isolation, unity-gain buffer per tube. Has ±20 V differential input protection (extra safety even if D1/D2 fail). Alt: 2× OPA1641 single, or LMC6042 dual</t>
        </is>
      </c>
      <c r="E97" s="3" t="inlineStr">
        <is>
          <t>Cathode Monitor</t>
        </is>
      </c>
      <c r="F97" s="3" t="n">
        <v>1</v>
      </c>
      <c r="G97" s="2" t="inlineStr"/>
      <c r="H97" s="2" t="inlineStr"/>
      <c r="I97" s="3" t="inlineStr"/>
    </row>
    <row r="98" ht="30" customHeight="1">
      <c r="A98" s="2" t="inlineStr">
        <is>
          <t>IC</t>
        </is>
      </c>
      <c r="B98" s="2" t="inlineStr">
        <is>
          <t>U_CATH_CMP</t>
        </is>
      </c>
      <c r="C98" s="2" t="inlineStr">
        <is>
          <t>LM393</t>
        </is>
      </c>
      <c r="D98" s="2" t="inlineStr">
        <is>
          <t>Dual comparator (DIP-8) — Layer 5 fast hardware trip; one section per tube. Open-collector output → wired-OR latch → watchdog gate. Total trip &lt;100 µs</t>
        </is>
      </c>
      <c r="E98" s="3" t="inlineStr">
        <is>
          <t>Cathode Monitor</t>
        </is>
      </c>
      <c r="F98" s="3" t="n">
        <v>1</v>
      </c>
      <c r="G98" s="2" t="inlineStr"/>
      <c r="H98" s="2" t="inlineStr"/>
      <c r="I98" s="3" t="inlineStr"/>
    </row>
    <row r="99" ht="30" customHeight="1">
      <c r="A99" s="2" t="inlineStr">
        <is>
          <t>IC</t>
        </is>
      </c>
      <c r="B99" s="2" t="inlineStr">
        <is>
          <t>U_CATH_REF</t>
        </is>
      </c>
      <c r="C99" s="2" t="inlineStr">
        <is>
          <t>LM4040DIZ-1.2</t>
        </is>
      </c>
      <c r="D99" s="2" t="inlineStr">
        <is>
          <t>Precision 1.225 V shunt reference (TO-92). Comparator trip threshold = 1.5 V (150 mA cathode); LM4040 + 1 kΩ trim pot sets the divider feeding LM393 (−) input. Shared</t>
        </is>
      </c>
      <c r="E99" s="3" t="inlineStr">
        <is>
          <t>Cathode Monitor</t>
        </is>
      </c>
      <c r="F99" s="3" t="n">
        <v>1</v>
      </c>
      <c r="G99" s="2" t="inlineStr"/>
      <c r="H99" s="2" t="inlineStr"/>
      <c r="I99" s="3" t="inlineStr"/>
    </row>
    <row r="100" ht="30" customHeight="1">
      <c r="A100" s="4" t="inlineStr">
        <is>
          <t>Resistor</t>
        </is>
      </c>
      <c r="B100" s="4" t="inlineStr">
        <is>
          <t>R_HYST_CATH</t>
        </is>
      </c>
      <c r="C100" s="4" t="inlineStr">
        <is>
          <t>470kΩ</t>
        </is>
      </c>
      <c r="D100" s="4" t="inlineStr">
        <is>
          <t>Metal film 1%; LM393 positive-feedback hysteresis (50 mV trip-recovery gap)</t>
        </is>
      </c>
      <c r="E100" s="5" t="inlineStr">
        <is>
          <t>Cathode Monitor</t>
        </is>
      </c>
      <c r="F100" s="5" t="n">
        <v>1</v>
      </c>
      <c r="G100" s="4" t="inlineStr"/>
      <c r="H100" s="4" t="inlineStr"/>
      <c r="I100" s="5" t="inlineStr"/>
    </row>
    <row r="101" ht="30" customHeight="1">
      <c r="A101" s="4" t="inlineStr">
        <is>
          <t>Resistor</t>
        </is>
      </c>
      <c r="B101" s="4" t="inlineStr">
        <is>
          <t>R_PULLUP_CATH</t>
        </is>
      </c>
      <c r="C101" s="4" t="inlineStr">
        <is>
          <t>4.7kΩ</t>
        </is>
      </c>
      <c r="D101" s="4" t="inlineStr">
        <is>
          <t>Metal film 1%; LM393 open-collector output pull-up to +3.3 V</t>
        </is>
      </c>
      <c r="E101" s="5" t="inlineStr">
        <is>
          <t>Cathode Monitor</t>
        </is>
      </c>
      <c r="F101" s="5" t="n">
        <v>1</v>
      </c>
      <c r="G101" s="4" t="inlineStr"/>
      <c r="H101" s="4" t="inlineStr"/>
      <c r="I101" s="5" t="inlineStr"/>
    </row>
    <row r="102" ht="30" customHeight="1">
      <c r="A102" s="4" t="inlineStr">
        <is>
          <t>Resistor</t>
        </is>
      </c>
      <c r="B102" s="4" t="inlineStr">
        <is>
          <t>R_REF_TRIM</t>
        </is>
      </c>
      <c r="C102" s="4" t="inlineStr">
        <is>
          <t>1kΩ trimpot</t>
        </is>
      </c>
      <c r="D102" s="4" t="inlineStr">
        <is>
          <t>Multi-turn trimmer (Bourns 3296 or similar); sets the LM4040 → LM393 (−) divider so trip lands at exactly 1.5 V_sense (150 mA cathode). Adjusted at bring-up calibration step 3</t>
        </is>
      </c>
      <c r="E102" s="5" t="inlineStr">
        <is>
          <t>Cathode Monitor</t>
        </is>
      </c>
      <c r="F102" s="5" t="n">
        <v>1</v>
      </c>
      <c r="G102" s="4" t="inlineStr"/>
      <c r="H102" s="4" t="inlineStr"/>
      <c r="I102" s="5" t="inlineStr"/>
    </row>
    <row r="103" ht="30" customHeight="1">
      <c r="A103" s="6" t="inlineStr">
        <is>
          <t>Capacitor</t>
        </is>
      </c>
      <c r="B103" s="6" t="inlineStr">
        <is>
          <t>C_DEC_CATH</t>
        </is>
      </c>
      <c r="C103" s="6" t="inlineStr">
        <is>
          <t>100nF ceramic</t>
        </is>
      </c>
      <c r="D103" s="6" t="inlineStr">
        <is>
          <t>X7R; supply decoupling — one at each IC supply pin (OPA1642, LM393, LM4040). Bulk supply</t>
        </is>
      </c>
      <c r="E103" s="7" t="inlineStr">
        <is>
          <t>Cathode Monitor</t>
        </is>
      </c>
      <c r="F103" s="7" t="n">
        <v>5</v>
      </c>
      <c r="G103" s="6" t="inlineStr"/>
      <c r="H103" s="6" t="inlineStr"/>
      <c r="I103" s="7" t="inlineStr"/>
    </row>
    <row r="104" ht="30" customHeight="1">
      <c r="A104" s="2" t="inlineStr">
        <is>
          <t>IC</t>
        </is>
      </c>
      <c r="B104" s="2" t="inlineStr">
        <is>
          <t>U_CATH_ADC</t>
        </is>
      </c>
      <c r="C104" s="2" t="inlineStr">
        <is>
          <t>ADS1115</t>
        </is>
      </c>
      <c r="D104" s="2" t="inlineStr">
        <is>
          <t>16-bit Δ-Σ I²C ADC, addr 0x48. Reads buffered V_sense from each tube at ~1 kHz (Layer 6 firmware soft trip + logging). Alt: built-in ESP32-S3 ADC if 12-bit (80 µA LSB) is acceptable</t>
        </is>
      </c>
      <c r="E104" s="3" t="inlineStr">
        <is>
          <t>Cathode Monitor</t>
        </is>
      </c>
      <c r="F104" s="3" t="n">
        <v>1</v>
      </c>
      <c r="G104" s="2" t="inlineStr"/>
      <c r="H104" s="2" t="inlineStr"/>
      <c r="I104" s="3" t="inlineStr"/>
    </row>
    <row r="105" ht="30" customHeight="1">
      <c r="A105" s="10" t="inlineStr">
        <is>
          <t>Semiconductor</t>
        </is>
      </c>
      <c r="B105" s="10" t="inlineStr">
        <is>
          <t>Q_SCR_GATE</t>
        </is>
      </c>
      <c r="C105" s="10" t="inlineStr">
        <is>
          <t>IRF9540</t>
        </is>
      </c>
      <c r="D105" s="10" t="inlineStr">
        <is>
          <t>P-channel power MOSFET (TO-220, V_DS=−100 V, I_D=−19 A). High-side switch in the +200 V screen supply. Default ON (R_GATE pulls to source); fault path pulls gate low via Q_GATE_DRV</t>
        </is>
      </c>
      <c r="E105" s="11" t="inlineStr">
        <is>
          <t>Watchdog Gate</t>
        </is>
      </c>
      <c r="F105" s="11" t="n">
        <v>1</v>
      </c>
      <c r="G105" s="10" t="inlineStr"/>
      <c r="H105" s="10" t="inlineStr"/>
      <c r="I105" s="11" t="inlineStr"/>
    </row>
    <row r="106" ht="30" customHeight="1">
      <c r="A106" s="4" t="inlineStr">
        <is>
          <t>Resistor</t>
        </is>
      </c>
      <c r="B106" s="4" t="inlineStr">
        <is>
          <t>R_GATE_SCR</t>
        </is>
      </c>
      <c r="C106" s="4" t="inlineStr">
        <is>
          <t>10kΩ</t>
        </is>
      </c>
      <c r="D106" s="4" t="inlineStr">
        <is>
          <t>Metal film 1/4 W; Q_SCR_GATE gate-to-source bias — keeps the gate high by default so the screen supply is normally enabled</t>
        </is>
      </c>
      <c r="E106" s="5" t="inlineStr">
        <is>
          <t>Watchdog Gate</t>
        </is>
      </c>
      <c r="F106" s="5" t="n">
        <v>1</v>
      </c>
      <c r="G106" s="4" t="inlineStr"/>
      <c r="H106" s="4" t="inlineStr"/>
      <c r="I106" s="5" t="inlineStr"/>
    </row>
    <row r="107" ht="30" customHeight="1">
      <c r="A107" s="10" t="inlineStr">
        <is>
          <t>Semiconductor</t>
        </is>
      </c>
      <c r="B107" s="10" t="inlineStr">
        <is>
          <t>Q_GATE_DRV</t>
        </is>
      </c>
      <c r="C107" s="10" t="inlineStr">
        <is>
          <t>2N3904</t>
        </is>
      </c>
      <c r="D107" s="10" t="inlineStr">
        <is>
          <t>NPN small-signal switch (TO-92); pulls Q_SCR_GATE gate low on fault. Driven by the wired-OR of: LM393 latch, MCU GPIO (FAULT_GATE_OUT), and esp_task_wdt interrupt output</t>
        </is>
      </c>
      <c r="E107" s="11" t="inlineStr">
        <is>
          <t>Watchdog Gate</t>
        </is>
      </c>
      <c r="F107" s="11" t="n">
        <v>1</v>
      </c>
      <c r="G107" s="10" t="inlineStr"/>
      <c r="H107" s="10" t="inlineStr"/>
      <c r="I107" s="11" t="inlineStr"/>
    </row>
    <row r="108" ht="30" customHeight="1">
      <c r="A108" s="4" t="inlineStr">
        <is>
          <t>Resistor</t>
        </is>
      </c>
      <c r="B108" s="4" t="inlineStr">
        <is>
          <t>R_BASE_DRV</t>
        </is>
      </c>
      <c r="C108" s="4" t="inlineStr">
        <is>
          <t>4.7kΩ</t>
        </is>
      </c>
      <c r="D108" s="4" t="inlineStr">
        <is>
          <t>Metal film 1/4 W; base-current limiter for Q_GATE_DRV</t>
        </is>
      </c>
      <c r="E108" s="5" t="inlineStr">
        <is>
          <t>Watchdog Gate</t>
        </is>
      </c>
      <c r="F108" s="5" t="n">
        <v>1</v>
      </c>
      <c r="G108" s="4" t="inlineStr"/>
      <c r="H108" s="4" t="inlineStr"/>
      <c r="I108" s="5" t="inlineStr"/>
    </row>
    <row r="109" ht="30" customHeight="1">
      <c r="A109" s="2" t="inlineStr">
        <is>
          <t>IC</t>
        </is>
      </c>
      <c r="B109" s="2" t="inlineStr">
        <is>
          <t>U_FAULT_LATCH</t>
        </is>
      </c>
      <c r="C109" s="2" t="inlineStr">
        <is>
          <t>74HC74 (optional)</t>
        </is>
      </c>
      <c r="D109" s="2" t="inlineStr">
        <is>
          <t>Dual D flip-flop (DIP-14); OPTIONAL hardware SR latch for the LM393 comparator outputs. Skip if firmware-only latch via esp_task_wdt is acceptable (~1 ms vs &lt;100 µs response time). Decision deferred — see pa_cathode_monitor.md "Open items"</t>
        </is>
      </c>
      <c r="E109" s="3" t="inlineStr">
        <is>
          <t>Watchdog Gate</t>
        </is>
      </c>
      <c r="F109" s="3" t="n">
        <v>1</v>
      </c>
      <c r="G109" s="2" t="inlineStr"/>
      <c r="H109" s="2" t="inlineStr"/>
      <c r="I109" s="3" t="inlineStr"/>
    </row>
    <row r="110" ht="30" customHeight="1">
      <c r="A110" s="12" t="inlineStr">
        <is>
          <t>Control</t>
        </is>
      </c>
      <c r="B110" s="12" t="inlineStr">
        <is>
          <t>LCD1</t>
        </is>
      </c>
      <c r="C110" s="12" t="inlineStr">
        <is>
          <t>Winstar WH2004A-CFH-JT#</t>
        </is>
      </c>
      <c r="D110" s="12" t="inlineStr">
        <is>
          <t>20×4 character LCD, FSTN positive transflective, 6 o'clock view, RGB triple-color LED backlight. VDD = 5 V (logic ~1.3 mA), backlight 42 mA R + 44 mA G + 47 mA B @ 5 V (~135 mA total full-white). 18-pin connector: pins 1–15 are standard HD44780 + backlight anode; pins 16/17/18 = R/G/B cathodes</t>
        </is>
      </c>
      <c r="E110" s="13" t="inlineStr">
        <is>
          <t>Display</t>
        </is>
      </c>
      <c r="F110" s="13" t="n">
        <v>1</v>
      </c>
      <c r="G110" s="12" t="inlineStr">
        <is>
          <t>Display/WH2004A-CFH-JT#.pdf</t>
        </is>
      </c>
      <c r="H110" s="12" t="inlineStr">
        <is>
          <t>Winstar / Mouser / DigiKey</t>
        </is>
      </c>
      <c r="I110" s="13" t="inlineStr"/>
    </row>
    <row r="111" ht="30" customHeight="1">
      <c r="A111" s="2" t="inlineStr">
        <is>
          <t>IC</t>
        </is>
      </c>
      <c r="B111" s="2" t="inlineStr">
        <is>
          <t>U_LCD_IF</t>
        </is>
      </c>
      <c r="C111" s="2" t="inlineStr">
        <is>
          <t>PCF8574 I²C LCD backpack</t>
        </is>
      </c>
      <c r="D111" s="2" t="inlineStr">
        <is>
          <t>Generic "LCD I²C adapter" module — PCF8574 8-bit I²C expander + 16-pin LCD header + onboard contrast trimpot. Solders directly to pins 1–16 of LCD1. I²C addr 0x27 or 0x3F (solder-jumper selectable). Does NOT drive pins 16/17/18 (RGB cathodes) — those are handled by U_LCD_RGB</t>
        </is>
      </c>
      <c r="E111" s="3" t="inlineStr">
        <is>
          <t>Display</t>
        </is>
      </c>
      <c r="F111" s="3" t="n">
        <v>1</v>
      </c>
      <c r="G111" s="2" t="inlineStr"/>
      <c r="H111" s="2" t="inlineStr">
        <is>
          <t>Adafruit / SparkFun / generic</t>
        </is>
      </c>
      <c r="I111" s="3" t="inlineStr"/>
    </row>
    <row r="112" ht="30" customHeight="1">
      <c r="A112" s="2" t="inlineStr">
        <is>
          <t>IC</t>
        </is>
      </c>
      <c r="B112" s="2" t="inlineStr">
        <is>
          <t>U_LCD_RGB</t>
        </is>
      </c>
      <c r="C112" s="2" t="inlineStr">
        <is>
          <t>PCA9685 (Adafruit #815)</t>
        </is>
      </c>
      <c r="D112" s="2" t="inlineStr">
        <is>
          <t>16-channel I²C PWM driver, 12-bit per channel. Three channels drive the R/G/B cathodes on LCD pins 16/17/18 through R_LCD_BL_*. Default I²C addr 0x40 (no collision with Si5351 / MCP4728 / ADS1115 / MAX17048 / PCF8574). 13 channels left free for future panel LEDs, indicators, etc. Alt: PCA9633 (4-ch, smaller) if PCB space is tight</t>
        </is>
      </c>
      <c r="E112" s="3" t="inlineStr">
        <is>
          <t>Display</t>
        </is>
      </c>
      <c r="F112" s="3" t="n">
        <v>1</v>
      </c>
      <c r="G112" s="2" t="inlineStr"/>
      <c r="H112" s="2" t="inlineStr">
        <is>
          <t>Adafruit / SparkFun</t>
        </is>
      </c>
      <c r="I112" s="3" t="inlineStr"/>
    </row>
    <row r="113" ht="30" customHeight="1">
      <c r="A113" s="4" t="inlineStr">
        <is>
          <t>Resistor</t>
        </is>
      </c>
      <c r="B113" s="4" t="inlineStr">
        <is>
          <t>R_LCD_BL_R, R_LCD_BL_G, R_LCD_BL_B</t>
        </is>
      </c>
      <c r="C113" s="4" t="inlineStr">
        <is>
          <t>120Ω</t>
        </is>
      </c>
      <c r="D113" s="4" t="inlineStr">
        <is>
          <t>Metal film 1/4 W; current-limit resistor in series with each backlight cathode pin (16/17/18). 120 Ω at V_LED ≈ 2 V gives ~25 mA per channel (below the 42–47 mA spec — extends lamp life; reduce to ~68 Ω for max brightness)</t>
        </is>
      </c>
      <c r="E113" s="5" t="inlineStr">
        <is>
          <t>Display</t>
        </is>
      </c>
      <c r="F113" s="5" t="n">
        <v>3</v>
      </c>
      <c r="G113" s="4" t="inlineStr"/>
      <c r="H113" s="4" t="inlineStr"/>
      <c r="I113" s="5" t="inlineStr"/>
    </row>
    <row r="114" ht="30" customHeight="1">
      <c r="A114" s="6" t="inlineStr">
        <is>
          <t>Capacitor</t>
        </is>
      </c>
      <c r="B114" s="6" t="inlineStr">
        <is>
          <t>C_LCD_BYP</t>
        </is>
      </c>
      <c r="C114" s="6" t="inlineStr">
        <is>
          <t>100nF ceramic</t>
        </is>
      </c>
      <c r="D114" s="6" t="inlineStr">
        <is>
          <t>X7R; VDD bypass at LCD VDD pin 2, ≤5 mm from pin</t>
        </is>
      </c>
      <c r="E114" s="7" t="inlineStr">
        <is>
          <t>Display</t>
        </is>
      </c>
      <c r="F114" s="7" t="n">
        <v>1</v>
      </c>
      <c r="G114" s="6" t="inlineStr"/>
      <c r="H114" s="6" t="inlineStr"/>
      <c r="I114" s="7" t="inlineStr"/>
    </row>
    <row r="115" ht="30" customHeight="1">
      <c r="A115" s="6" t="inlineStr">
        <is>
          <t>Capacitor</t>
        </is>
      </c>
      <c r="B115" s="6" t="inlineStr">
        <is>
          <t>C_PCA_BYP</t>
        </is>
      </c>
      <c r="C115" s="6" t="inlineStr">
        <is>
          <t>100nF ceramic</t>
        </is>
      </c>
      <c r="D115" s="6" t="inlineStr">
        <is>
          <t>X7R; VDD bypass at PCA9685, ≤5 mm from supply pin</t>
        </is>
      </c>
      <c r="E115" s="7" t="inlineStr">
        <is>
          <t>Display</t>
        </is>
      </c>
      <c r="F115" s="7" t="n">
        <v>1</v>
      </c>
      <c r="G115" s="6" t="inlineStr"/>
      <c r="H115" s="6" t="inlineStr"/>
      <c r="I115" s="7" t="inlineStr"/>
    </row>
    <row r="116" ht="30" customHeight="1">
      <c r="A116" s="12" t="inlineStr">
        <is>
          <t>Control</t>
        </is>
      </c>
      <c r="B116" s="12" t="inlineStr">
        <is>
          <t>J_LCD</t>
        </is>
      </c>
      <c r="C116" s="12" t="inlineStr">
        <is>
          <t>18-pin 2.54mm header</t>
        </is>
      </c>
      <c r="D116" s="12" t="inlineStr">
        <is>
          <t>Single-row 0.1" pin header (18 contacts) for the LCD edge connector. Alt: 18-conductor ribbon cable + IDC headers if mounting LCD on a panel away from the main PCB</t>
        </is>
      </c>
      <c r="E116" s="13" t="inlineStr">
        <is>
          <t>Display</t>
        </is>
      </c>
      <c r="F116" s="13" t="n">
        <v>1</v>
      </c>
      <c r="G116" s="12" t="inlineStr"/>
      <c r="H116" s="12" t="inlineStr"/>
      <c r="I116" s="13" t="inlineStr"/>
    </row>
    <row r="117" ht="30" customHeight="1">
      <c r="A117" s="2" t="inlineStr">
        <is>
          <t>IC</t>
        </is>
      </c>
      <c r="B117" s="2" t="inlineStr">
        <is>
          <t>U_HBEAT</t>
        </is>
      </c>
      <c r="C117" s="2" t="inlineStr">
        <is>
          <t>74HC4538</t>
        </is>
      </c>
      <c r="D117" s="2" t="inlineStr">
        <is>
          <t>Dual retriggerable monostable (DIP-16). One section used. R_RC + C_RC sets the retrigger window — pick R = 100 kΩ, C = 2.2 µF for ~220 ms hold. Output Q drives Q_HBEAT base. Pin 1 (A trigger) = MCU GPIO; pin 4 (Q) = relay drive</t>
        </is>
      </c>
      <c r="E117" s="3" t="inlineStr">
        <is>
          <t>Mains Interlock</t>
        </is>
      </c>
      <c r="F117" s="3" t="n">
        <v>1</v>
      </c>
      <c r="G117" s="2" t="inlineStr"/>
      <c r="H117" s="2" t="inlineStr"/>
      <c r="I117" s="3" t="inlineStr"/>
    </row>
    <row r="118" ht="30" customHeight="1">
      <c r="A118" s="4" t="inlineStr">
        <is>
          <t>Resistor</t>
        </is>
      </c>
      <c r="B118" s="4" t="inlineStr">
        <is>
          <t>R_HBEAT_T</t>
        </is>
      </c>
      <c r="C118" s="4" t="inlineStr">
        <is>
          <t>100kΩ</t>
        </is>
      </c>
      <c r="D118" s="4" t="inlineStr">
        <is>
          <t>Metal film 1%; 4538 timing resistor (pin 14 to VCC). With C_HBEAT_T = 2.2 µF gives ~220 ms hold</t>
        </is>
      </c>
      <c r="E118" s="5" t="inlineStr">
        <is>
          <t>Mains Interlock</t>
        </is>
      </c>
      <c r="F118" s="5" t="n">
        <v>1</v>
      </c>
      <c r="G118" s="4" t="inlineStr"/>
      <c r="H118" s="4" t="inlineStr"/>
      <c r="I118" s="5" t="inlineStr"/>
    </row>
    <row r="119" ht="30" customHeight="1">
      <c r="A119" s="6" t="inlineStr">
        <is>
          <t>Capacitor</t>
        </is>
      </c>
      <c r="B119" s="6" t="inlineStr">
        <is>
          <t>C_HBEAT_T</t>
        </is>
      </c>
      <c r="C119" s="6" t="inlineStr">
        <is>
          <t>2.2µF</t>
        </is>
      </c>
      <c r="D119" s="6" t="inlineStr">
        <is>
          <t>Film MKT 50 V; 4538 timing capacitor (pin 15 to GND). Tantalum / electrolytic OK if leakage low</t>
        </is>
      </c>
      <c r="E119" s="7" t="inlineStr">
        <is>
          <t>Mains Interlock</t>
        </is>
      </c>
      <c r="F119" s="7" t="n">
        <v>1</v>
      </c>
      <c r="G119" s="6" t="inlineStr"/>
      <c r="H119" s="6" t="inlineStr"/>
      <c r="I119" s="7" t="inlineStr"/>
    </row>
    <row r="120" ht="30" customHeight="1">
      <c r="A120" s="4" t="inlineStr">
        <is>
          <t>Resistor</t>
        </is>
      </c>
      <c r="B120" s="4" t="inlineStr">
        <is>
          <t>R_HBEAT_PD</t>
        </is>
      </c>
      <c r="C120" s="4" t="inlineStr">
        <is>
          <t>10kΩ</t>
        </is>
      </c>
      <c r="D120" s="4" t="inlineStr">
        <is>
          <t>Metal film 1/4 W; external pull-down on MAINS_HEARTBEAT GPIO trace. Guarantees relay OFF when MCU is unpowered, in reset, or removed</t>
        </is>
      </c>
      <c r="E120" s="5" t="inlineStr">
        <is>
          <t>Mains Interlock</t>
        </is>
      </c>
      <c r="F120" s="5" t="n">
        <v>1</v>
      </c>
      <c r="G120" s="4" t="inlineStr"/>
      <c r="H120" s="4" t="inlineStr"/>
      <c r="I120" s="5" t="inlineStr"/>
    </row>
    <row r="121" ht="30" customHeight="1">
      <c r="A121" s="10" t="inlineStr">
        <is>
          <t>Semiconductor</t>
        </is>
      </c>
      <c r="B121" s="10" t="inlineStr">
        <is>
          <t>Q_HBEAT</t>
        </is>
      </c>
      <c r="C121" s="10" t="inlineStr">
        <is>
          <t>2N3904</t>
        </is>
      </c>
      <c r="D121" s="10" t="inlineStr">
        <is>
          <t>NPN small-signal switch (TO-92); 4538 Q output → K_MAIN coil low-side. Alt: BSS138 SOT-23 if going SMT</t>
        </is>
      </c>
      <c r="E121" s="11" t="inlineStr">
        <is>
          <t>Mains Interlock</t>
        </is>
      </c>
      <c r="F121" s="11" t="n">
        <v>1</v>
      </c>
      <c r="G121" s="10" t="inlineStr"/>
      <c r="H121" s="10" t="inlineStr"/>
      <c r="I121" s="11" t="inlineStr"/>
    </row>
    <row r="122" ht="30" customHeight="1">
      <c r="A122" s="4" t="inlineStr">
        <is>
          <t>Resistor</t>
        </is>
      </c>
      <c r="B122" s="4" t="inlineStr">
        <is>
          <t>R_HBEAT_B</t>
        </is>
      </c>
      <c r="C122" s="4" t="inlineStr">
        <is>
          <t>4.7kΩ</t>
        </is>
      </c>
      <c r="D122" s="4" t="inlineStr">
        <is>
          <t>Metal film 1/4 W; Q_HBEAT base-current limiter from the 4538 output</t>
        </is>
      </c>
      <c r="E122" s="5" t="inlineStr">
        <is>
          <t>Mains Interlock</t>
        </is>
      </c>
      <c r="F122" s="5" t="n">
        <v>1</v>
      </c>
      <c r="G122" s="4" t="inlineStr"/>
      <c r="H122" s="4" t="inlineStr"/>
      <c r="I122" s="5" t="inlineStr"/>
    </row>
    <row r="123" ht="30" customHeight="1">
      <c r="A123" s="10" t="inlineStr">
        <is>
          <t>Semiconductor</t>
        </is>
      </c>
      <c r="B123" s="10" t="inlineStr">
        <is>
          <t>D_HBEAT_FW</t>
        </is>
      </c>
      <c r="C123" s="10" t="inlineStr">
        <is>
          <t>1N4148</t>
        </is>
      </c>
      <c r="D123" s="10" t="inlineStr">
        <is>
          <t>Flyback diode across K_MAIN coil — catches the kickback when Q_HBEAT switches off. Alt: 1N4001 for higher coil current relays</t>
        </is>
      </c>
      <c r="E123" s="11" t="inlineStr">
        <is>
          <t>Mains Interlock</t>
        </is>
      </c>
      <c r="F123" s="11" t="n">
        <v>1</v>
      </c>
      <c r="G123" s="10" t="inlineStr"/>
      <c r="H123" s="10" t="inlineStr"/>
      <c r="I123" s="11" t="inlineStr"/>
    </row>
    <row r="124" ht="30" customHeight="1">
      <c r="A124" s="2" t="inlineStr">
        <is>
          <t>IC</t>
        </is>
      </c>
      <c r="B124" s="2" t="inlineStr">
        <is>
          <t>K_MAIN</t>
        </is>
      </c>
      <c r="C124" s="2" t="inlineStr">
        <is>
          <t>Omron G7L-2A-T (or similar)</t>
        </is>
      </c>
      <c r="D124" s="2" t="inlineStr">
        <is>
          <t>AC mains power relay, SPST-NO (or DPST-NO for double-pole switching of L+N), 12 V DC coil, contacts rated 250 V AC / 10 A min — sized for the rig's peak transformer inrush (factor ~10× steady-state). DIN-rail mount alternatives: Schrack RT, Omron MY series. Avoid sub-1 A "signal" relays — AC inrush will pit them</t>
        </is>
      </c>
      <c r="E124" s="3" t="inlineStr">
        <is>
          <t>Mains Interlock</t>
        </is>
      </c>
      <c r="F124" s="3" t="n">
        <v>1</v>
      </c>
      <c r="G124" s="2" t="inlineStr"/>
      <c r="H124" s="2" t="inlineStr"/>
      <c r="I124" s="3" t="inlineStr"/>
    </row>
    <row r="125" ht="30" customHeight="1">
      <c r="A125" s="6" t="inlineStr">
        <is>
          <t>Capacitor</t>
        </is>
      </c>
      <c r="B125" s="6" t="inlineStr">
        <is>
          <t>C_K_BYP</t>
        </is>
      </c>
      <c r="C125" s="6" t="inlineStr">
        <is>
          <t>100nF X7R</t>
        </is>
      </c>
      <c r="D125" s="6" t="inlineStr">
        <is>
          <t>K_MAIN coil supply bypass (12 V → GND), close to the relay coil</t>
        </is>
      </c>
      <c r="E125" s="7" t="inlineStr">
        <is>
          <t>Mains Interlock</t>
        </is>
      </c>
      <c r="F125" s="7" t="n">
        <v>1</v>
      </c>
      <c r="G125" s="6" t="inlineStr"/>
      <c r="H125" s="6" t="inlineStr"/>
      <c r="I125" s="7" t="inlineStr"/>
    </row>
    <row r="126" ht="30" customHeight="1">
      <c r="A126" s="14" t="inlineStr">
        <is>
          <t>Transformer</t>
        </is>
      </c>
      <c r="B126" s="14" t="inlineStr">
        <is>
          <t>LP / LS</t>
        </is>
      </c>
      <c r="C126" s="14" t="inlineStr">
        <is>
          <t>14µH / 2.33µH</t>
        </is>
      </c>
      <c r="D126" s="14" t="inlineStr">
        <is>
          <t>FT-114-61 ferrite (AL=75); 15T primary : 6T secondary; 300Ω balanced → 50Ω unbal; 6.25:1 Z ratio; good through 10m</t>
        </is>
      </c>
      <c r="E126" s="15" t="inlineStr">
        <is>
          <t>Balun</t>
        </is>
      </c>
      <c r="F126" s="15" t="n">
        <v>1</v>
      </c>
      <c r="G126" s="14" t="inlineStr"/>
      <c r="H126" s="14" t="inlineStr">
        <is>
          <t>Amidon / Kits&amp;Parts</t>
        </is>
      </c>
      <c r="I126" s="15" t="inlineStr"/>
    </row>
    <row r="127" ht="30" customHeight="1">
      <c r="A127" s="6" t="inlineStr">
        <is>
          <t>Capacitor</t>
        </is>
      </c>
      <c r="B127" s="6" t="inlineStr">
        <is>
          <t>C1, C3</t>
        </is>
      </c>
      <c r="C127" s="6" t="inlineStr">
        <is>
          <t>300pF</t>
        </is>
      </c>
      <c r="D127" s="6" t="inlineStr">
        <is>
          <t>NP0/C0G 1–2%; 5-pole 0.5dB Chebyshev LPF fc=18MHz; end caps</t>
        </is>
      </c>
      <c r="E127" s="7" t="inlineStr">
        <is>
          <t>LPF (50Ω)</t>
        </is>
      </c>
      <c r="F127" s="7" t="n">
        <v>2</v>
      </c>
      <c r="G127" s="6" t="inlineStr"/>
      <c r="H127" s="6" t="inlineStr"/>
      <c r="I127" s="7" t="inlineStr"/>
    </row>
    <row r="128" ht="30" customHeight="1">
      <c r="A128" s="6" t="inlineStr">
        <is>
          <t>Capacitor</t>
        </is>
      </c>
      <c r="B128" s="6" t="inlineStr">
        <is>
          <t>C2</t>
        </is>
      </c>
      <c r="C128" s="6" t="inlineStr">
        <is>
          <t>450pF</t>
        </is>
      </c>
      <c r="D128" s="6" t="inlineStr">
        <is>
          <t>NP0/C0G 1–2%; 5-pole Chebyshev LPF centre cap</t>
        </is>
      </c>
      <c r="E128" s="7" t="inlineStr">
        <is>
          <t>LPF (50Ω)</t>
        </is>
      </c>
      <c r="F128" s="7" t="n">
        <v>1</v>
      </c>
      <c r="G128" s="6" t="inlineStr"/>
      <c r="H128" s="6" t="inlineStr"/>
      <c r="I128" s="7" t="inlineStr"/>
    </row>
    <row r="129" ht="30" customHeight="1">
      <c r="A129" s="8" t="inlineStr">
        <is>
          <t>Inductor</t>
        </is>
      </c>
      <c r="B129" s="8" t="inlineStr">
        <is>
          <t>L1, L2</t>
        </is>
      </c>
      <c r="C129" s="8" t="inlineStr">
        <is>
          <t>540nH</t>
        </is>
      </c>
      <c r="D129" s="8" t="inlineStr">
        <is>
          <t>T-68-6 (Mix 6, yellow); ~11T #26AWG; 5-pole Chebyshev LPF series arms</t>
        </is>
      </c>
      <c r="E129" s="9" t="inlineStr">
        <is>
          <t>LPF (50Ω)</t>
        </is>
      </c>
      <c r="F129" s="9" t="n">
        <v>2</v>
      </c>
      <c r="G129" s="8" t="inlineStr"/>
      <c r="H129" s="8" t="inlineStr">
        <is>
          <t>Amidon / Kits&amp;Parts</t>
        </is>
      </c>
      <c r="I129" s="9" t="inlineStr"/>
    </row>
  </sheetData>
  <autoFilter ref="A1:I1"/>
  <dataValidations count="1">
    <dataValidation sqref="I2:I129" showDropDown="0" showInputMessage="0" showErrorMessage="0" allowBlank="1" type="list">
      <formula1>"Yes,Ordered,No"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2026-06-14T19:48:18Z</dcterms:created>
  <dcterms:modified xmlns:dcterms="http://purl.org/dc/terms/" xmlns:xsi="http://www.w3.org/2001/XMLSchema-instance" xsi:type="dcterms:W3CDTF">2026-06-14T19:48:18Z</dcterms:modified>
</cp:coreProperties>
</file>